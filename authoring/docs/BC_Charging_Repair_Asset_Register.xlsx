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et Register" sheetId="2" state="visible" r:id="rId4"/>
    <sheet name="Blender Build List" sheetId="3" state="visible" r:id="rId5"/>
    <sheet name="Infographic List" sheetId="4" state="visible" r:id="rId6"/>
    <sheet name="Scene Map" sheetId="5" state="visible" r:id="rId7"/>
    <sheet name="Effort Summary" sheetId="6" state="visible" r:id="rId8"/>
    <sheet name="Risks &amp; Decisions" sheetId="7" state="visible" r:id="rId9"/>
  </sheets>
  <definedNames>
    <definedName function="false" hidden="true" localSheetId="1" name="_xlnm._FilterDatabase" vbProcedure="false">'Asset Register'!$A$4:$M$111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<sst xmlns="http://schemas.openxmlformats.org/spreadsheetml/2006/main" count="1915" uniqueCount="783">
  <si>
    <t xml:space="preserve">Mobile Charging Repair Simulation - Asset Production Register</t>
  </si>
  <si>
    <t xml:space="preserve">Source: 'Mobile charging repair Simulation' storyboard (16pp, modules BC.1 / BC.2 / BC.3). Prepared 21 Aug 2026.</t>
  </si>
  <si>
    <t xml:space="preserve">THE DECISION RULE</t>
  </si>
  <si>
    <t xml:space="preserve">BLENDER  -  if the learner must IDENTIFY, LOCATE, ORIENT or MANIPULATE the thing with their hands.</t>
  </si>
  <si>
    <t xml:space="preserve">             Spatial understanding transfers to a real bench. 65 rows (48 models/effects + 17 animation clips), 87.5 days.</t>
  </si>
  <si>
    <t xml:space="preserve">INFOGRAPHIC  -  if the content is INVISIBLE signal flow, electrical logic, a numeric spec, a named</t>
  </si>
  <si>
    <t xml:space="preserve">             sequence, or a comparison. 3D adds cost and teaches nothing extra here. 28 graphics, 21 days.</t>
  </si>
  <si>
    <t xml:space="preserve">PHOTO/VIDEO  -  real-world defects and already-sourced footage. 7 items, nearly all already supplied.</t>
  </si>
  <si>
    <t xml:space="preserve">RUNTIME/CODE  -  interaction, state and scoring. Not an art deliverable at all. 7 items, 13.5 days.</t>
  </si>
  <si>
    <t xml:space="preserve">THE THREE THINGS THAT MATTER MOST IN THIS BREAKDOWN</t>
  </si>
  <si>
    <t xml:space="preserve">1. This course is ONE phone teardown, reused 18 times. B02 (mainboard) appears in 7 of 18 scenes;</t>
  </si>
  <si>
    <t xml:space="preserve">   B05 (USB-C port) in 5; B28 (hot air station) in 6. Build the master assets to a high standard once.</t>
  </si>
  <si>
    <t xml:space="preserve">   Mean reuse across the 65 Blender rows is 2.75 scenes each; B32 (bench + lighting) hits 9.</t>
  </si>
  <si>
    <t xml:space="preserve">2. Every 'circuit diagram overlay' in the storyboard is an INFOGRAPHIC, not a model. VBUS/GND/CC1/CC2</t>
  </si>
  <si>
    <t xml:space="preserve">   traces and the Charger IC's internal stages (OVP &gt; buck &gt; current sense) have no visible geometry.</t>
  </si>
  <si>
    <t xml:space="preserve">   Modelling them would burn weeks and teach less than a clean 2D diagram. See I04 and I09.</t>
  </si>
  <si>
    <t xml:space="preserve">3. Infographic does NOT mean stock photo. Every step strip and tool card should use a BLENDER RENDER</t>
  </si>
  <si>
    <t xml:space="preserve">   as its image (I13, I14, I17-I22). Same assets, second output channel, near-zero extra cost.</t>
  </si>
  <si>
    <t xml:space="preserve">WHAT THE STORYBOARD ASKS FOR THAT NEEDS A DECISION BEFORE THE BUILD STARTS</t>
  </si>
  <si>
    <t xml:space="preserve">MOLTEN SOLDER (B45)  -  'lift away once solder liquifies' is the core skill beat in 5 fixes. A real</t>
  </si>
  <si>
    <t xml:space="preserve">   Blender fluid sim will NOT export to real-time. Bake to vertex animation + animated shader, or</t>
  </si>
  <si>
    <t xml:space="preserve">   pre-render that beat as video. Decide before Fix 2 starts. 3 days either way.</t>
  </si>
  <si>
    <t xml:space="preserve">HANDS  -  the storyboard says 'technician using hot-air rework'. Modelling and rigging hands adds</t>
  </si>
  <si>
    <t xml:space="preserve">   15-20 days and constant clipping problems. Recommend a tool-only convention: the instrument moves,</t>
  </si>
  <si>
    <t xml:space="preserve">   no hands. Cleaner to read at macro scale and it is what teardown videos already do.</t>
  </si>
  <si>
    <t xml:space="preserve">FPC PEEL (B10 / A09)  -  the ribbon must deform, not cut away. Bone chain or shape keys, baked.</t>
  </si>
  <si>
    <t xml:space="preserve">   Blender cloth sim does not survive glTF export. A09 cannot start until B10's rig signs off.</t>
  </si>
  <si>
    <t xml:space="preserve">MULTIMETER READOUT (U02)  -  the number must react to probe position, so it is a runtime canvas</t>
  </si>
  <si>
    <t xml:space="preserve">   texture. Blender supplies the bezel only. Do not bake any digits into the model.</t>
  </si>
  <si>
    <t xml:space="preserve">TWO GRAPHICS MISSING FROM THE STORYBOARD THAT YOU SHOULD ADD</t>
  </si>
  <si>
    <t xml:space="preserve">I24  Fault symptom &gt; probable cause decision tree. Three symptoms map to six fixes and that map is</t>
  </si>
  <si>
    <t xml:space="preserve">     never drawn. 0.75 days, and it is the cheapest thing on this list that raises pass rates.</t>
  </si>
  <si>
    <t xml:space="preserve">I28  Fix-selection escalation ladder. 'Start with the easiest thing first' is stated in the VO of</t>
  </si>
  <si>
    <t xml:space="preserve">     BC.1 scene 1 and then never shown as a picture. 0.5 days.</t>
  </si>
  <si>
    <t xml:space="preserve">WEB DELIVERY BUDGET (assume low-end Android, 3G)</t>
  </si>
  <si>
    <t xml:space="preserve">Per-scene GLB: 8 MB hard ceiling, 5 MB target.  Whole course asset set: 25 MB.</t>
  </si>
  <si>
    <t xml:space="preserve">Draco mesh compression + KTX2/Basis textures on everything. 2K only for hero parts (B02, B05, B11, B15).</t>
  </si>
  <si>
    <t xml:space="preserve">512 shared atlas for bench tools and consumables - they are never the subject of a macro shot.</t>
  </si>
  <si>
    <t xml:space="preserve">LOD0 full detail for macro/inspection, LOD1 at 40% for bench-wide shots, LOD2 at 15% for icons.</t>
  </si>
  <si>
    <t xml:space="preserve">Tri figures in the register are LOD0 before Draco.</t>
  </si>
  <si>
    <t xml:space="preserve">HOW TO READ THE ESTIMATES</t>
  </si>
  <si>
    <t xml:space="preserve">Days = one mid-level Blender artist, model + UV + texture + web optimisation, or one designer for</t>
  </si>
  <si>
    <t xml:space="preserve">infographics. Excludes VO, translation, QA and runtime engineering other than the U-series rows.</t>
  </si>
  <si>
    <t xml:space="preserve">Complexity High rows are the ones to staff with your strongest artist and start first.</t>
  </si>
  <si>
    <t xml:space="preserve">HEADLINE NUMBERS</t>
  </si>
  <si>
    <t xml:space="preserve">107 distinct assets across 18 scenes.  122.7 person-days total.</t>
  </si>
  <si>
    <t xml:space="preserve">Blender 87.5 d (71%) - 48 models/effects + 17 animation clips, 48 clips in all.</t>
  </si>
  <si>
    <t xml:space="preserve">Infographic 21 d (17%) - 28 graphics.   Runtime/code 13.5 d (11%).   Photo/video 0.7 d (supplied).</t>
  </si>
  <si>
    <t xml:space="preserve">At 3 Blender artists + 1 designer, that is roughly 6 calendar weeks of art, running in parallel.</t>
  </si>
  <si>
    <t xml:space="preserve">9 rows are High complexity and carry 26 days between them - staff those first: B02, B05, B10, B11, B45, A09, A12, U02, U04.</t>
  </si>
  <si>
    <t xml:space="preserve">Asset Register - every visual asset the storyboard calls for</t>
  </si>
  <si>
    <t xml:space="preserve">One row per distinct asset. Colour = production route. Filter column D to split the work.</t>
  </si>
  <si>
    <t xml:space="preserve">Asset ID</t>
  </si>
  <si>
    <t xml:space="preserve">Asset name</t>
  </si>
  <si>
    <t xml:space="preserve">Module</t>
  </si>
  <si>
    <t xml:space="preserve">Route</t>
  </si>
  <si>
    <t xml:space="preserve">Scenes used in</t>
  </si>
  <si>
    <t xml:space="preserve">Reuse
(scenes)</t>
  </si>
  <si>
    <t xml:space="preserve">Why this route</t>
  </si>
  <si>
    <t xml:space="preserve">Tri budget
(LOD0)</t>
  </si>
  <si>
    <t xml:space="preserve">Textures</t>
  </si>
  <si>
    <t xml:space="preserve">Anim
clips</t>
  </si>
  <si>
    <t xml:space="preserve">Est.
days</t>
  </si>
  <si>
    <t xml:space="preserve">Complexity</t>
  </si>
  <si>
    <t xml:space="preserve">Notes / risks</t>
  </si>
  <si>
    <t xml:space="preserve">B01</t>
  </si>
  <si>
    <t xml:space="preserve">Phone body shell + removable back cover</t>
  </si>
  <si>
    <t xml:space="preserve">BC.1</t>
  </si>
  <si>
    <t xml:space="preserve">BLENDER</t>
  </si>
  <si>
    <t xml:space="preserve">BC.1-S1, BC.3-S1, BC.3-S7</t>
  </si>
  <si>
    <t xml:space="preserve">Learner must orient the handset in their hands and know which way it opens</t>
  </si>
  <si>
    <t xml:space="preserve">18k</t>
  </si>
  <si>
    <t xml:space="preserve">2x1K PBR</t>
  </si>
  <si>
    <t xml:space="preserve">Med</t>
  </si>
  <si>
    <t xml:space="preserve">Model one generic mid-range Android form factor. Back cover as separate mesh so it can be lifted.</t>
  </si>
  <si>
    <t xml:space="preserve">B02</t>
  </si>
  <si>
    <t xml:space="preserve">Mainboard (PBA) - populated</t>
  </si>
  <si>
    <t xml:space="preserve">BC.1-S1, BC.1-S4, BC.3-S2, BC.3-S3, BC.3-S4, BC.3-S5, BC.3-S6</t>
  </si>
  <si>
    <t xml:space="preserve">The stage every board-level fix happens on; spatial location of each part is the lesson</t>
  </si>
  <si>
    <t xml:space="preserve">45k</t>
  </si>
  <si>
    <t xml:space="preserve">2K colour + 1K rough/normal</t>
  </si>
  <si>
    <t xml:space="preserve">High</t>
  </si>
  <si>
    <t xml:space="preserve">MASTER ASSET - highest reuse in the whole course. Build once, texture properly, never rebuild.</t>
  </si>
  <si>
    <t xml:space="preserve">B03</t>
  </si>
  <si>
    <t xml:space="preserve">Sub-PBA / small daughterboard</t>
  </si>
  <si>
    <t xml:space="preserve">BC.1-S3, BC.3-S3</t>
  </si>
  <si>
    <t xml:space="preserve">Storyboard NOTE says the ribbon may bond to a Sub-PBA instead - needs its own mesh</t>
  </si>
  <si>
    <t xml:space="preserve">8k</t>
  </si>
  <si>
    <t xml:space="preserve">1K shared atlas</t>
  </si>
  <si>
    <t xml:space="preserve">Low</t>
  </si>
  <si>
    <t xml:space="preserve">B04</t>
  </si>
  <si>
    <t xml:space="preserve">Screw set + labelled screw tray</t>
  </si>
  <si>
    <t xml:space="preserve">BC.2</t>
  </si>
  <si>
    <t xml:space="preserve">BC.3-S7</t>
  </si>
  <si>
    <t xml:space="preserve">'Every screw in its labelled tray slot' is a physical placement habit - must be manipulable</t>
  </si>
  <si>
    <t xml:space="preserve">4k</t>
  </si>
  <si>
    <t xml:space="preserve">512 shared</t>
  </si>
  <si>
    <t xml:space="preserve">Tray slot labels as a texture, not geometry.</t>
  </si>
  <si>
    <t xml:space="preserve">B05</t>
  </si>
  <si>
    <t xml:space="preserve">USB-C female port assembly (shell, insert, 24 pins, mounting legs, gasket)</t>
  </si>
  <si>
    <t xml:space="preserve">BC.1-S1, BC.1-S2, BC.2-S3, BC.3-S1, BC.3-S2</t>
  </si>
  <si>
    <t xml:space="preserve">HERO. Exploded view + 180 deg cutaway + per-pin highlight all need real geometry</t>
  </si>
  <si>
    <t xml:space="preserve">30k</t>
  </si>
  <si>
    <t xml:space="preserve">2K + gold/steel PBR</t>
  </si>
  <si>
    <t xml:space="preserve">Build as 5 named sub-objects so explode + pin highlight are driven by transforms, not separate models.</t>
  </si>
  <si>
    <t xml:space="preserve">B06</t>
  </si>
  <si>
    <t xml:space="preserve">USB-C male plug (cable end)</t>
  </si>
  <si>
    <t xml:space="preserve">BC.1-S1, BC.2-S3, BC.3-S1, BC.3-S7</t>
  </si>
  <si>
    <t xml:space="preserve">Insertion + orientation demo</t>
  </si>
  <si>
    <t xml:space="preserve">6k</t>
  </si>
  <si>
    <t xml:space="preserve">1K shared</t>
  </si>
  <si>
    <t xml:space="preserve">B07</t>
  </si>
  <si>
    <t xml:space="preserve">USB-C cable (curve-deformable)</t>
  </si>
  <si>
    <t xml:space="preserve">BC.1-S1, BC.2-S3, BC.3-S7</t>
  </si>
  <si>
    <t xml:space="preserve">Wiggle test and cable-fault checks need it to bend</t>
  </si>
  <si>
    <t xml:space="preserve">3k</t>
  </si>
  <si>
    <t xml:space="preserve">512 tileable</t>
  </si>
  <si>
    <t xml:space="preserve">Curve modifier, baked to skinned mesh for glTF export.</t>
  </si>
  <si>
    <t xml:space="preserve">B08</t>
  </si>
  <si>
    <t xml:space="preserve">Wall charger adapter (TA)</t>
  </si>
  <si>
    <t xml:space="preserve">BC.1-S1, BC.3-S7</t>
  </si>
  <si>
    <t xml:space="preserve">Start of the charging path; also the 'known-good TA' in every test step</t>
  </si>
  <si>
    <t xml:space="preserve">5k</t>
  </si>
  <si>
    <t xml:space="preserve">1K</t>
  </si>
  <si>
    <t xml:space="preserve">B09</t>
  </si>
  <si>
    <t xml:space="preserve">Wall outlet / socket plate</t>
  </si>
  <si>
    <t xml:space="preserve">BC.1-S1</t>
  </si>
  <si>
    <t xml:space="preserve">Anchors the path diagram in something familiar</t>
  </si>
  <si>
    <t xml:space="preserve">1k</t>
  </si>
  <si>
    <t xml:space="preserve">B10</t>
  </si>
  <si>
    <t xml:space="preserve">FPC flex ribbon (rigged for bend + peel)</t>
  </si>
  <si>
    <t xml:space="preserve">BC.1-S1, BC.1-S3, BC.3-S2, BC.3-S3</t>
  </si>
  <si>
    <t xml:space="preserve">HERO. The peel-off in Fix 3 is the single most misdiagnosed fault - must deform, not cut</t>
  </si>
  <si>
    <t xml:space="preserve">1K gold/polyimide</t>
  </si>
  <si>
    <t xml:space="preserve">Bone chain or shape keys. Cloth sim will NOT export to real-time - bake it.</t>
  </si>
  <si>
    <t xml:space="preserve">B11</t>
  </si>
  <si>
    <t xml:space="preserve">Board-side ZIF socket + hinged flap + gold pins</t>
  </si>
  <si>
    <t xml:space="preserve">HERO. 'Is the flap fully closed?' is the diagnosis - the flap must actually hinge</t>
  </si>
  <si>
    <t xml:space="preserve">14k</t>
  </si>
  <si>
    <t xml:space="preserve">2K gold/black nylon</t>
  </si>
  <si>
    <t xml:space="preserve">Flap on its own pivot. Latched/unlatched are two states the quiz can test.</t>
  </si>
  <si>
    <t xml:space="preserve">B12</t>
  </si>
  <si>
    <t xml:space="preserve">Stiffener backing + anchoring solder pads</t>
  </si>
  <si>
    <t xml:space="preserve">Named failure point (cracked/dry pads)</t>
  </si>
  <si>
    <t xml:space="preserve">2k</t>
  </si>
  <si>
    <t xml:space="preserve">shares B11 atlas</t>
  </si>
  <si>
    <t xml:space="preserve">B13</t>
  </si>
  <si>
    <t xml:space="preserve">Charger IC package + BGA solder ball array</t>
  </si>
  <si>
    <t xml:space="preserve">BC.1-S4, BC.3-S4, BC.3-S5</t>
  </si>
  <si>
    <t xml:space="preserve">Fix 4 is entirely about the balls UNDER the chip - needs a cutaway-capable mesh</t>
  </si>
  <si>
    <t xml:space="preserve">Model the ball array. Cold-joint vs reflowed is a geometry+material variant, see B40.</t>
  </si>
  <si>
    <t xml:space="preserve">B14</t>
  </si>
  <si>
    <t xml:space="preserve">Neighbouring SMT component kit (caps, resistors, shields)</t>
  </si>
  <si>
    <t xml:space="preserve">BC.1-S4, BC.3-S2, BC.3-S4, BC.3-S5, BC.3-S6</t>
  </si>
  <si>
    <t xml:space="preserve">'Without disturbing nearby components' only means something if they are there</t>
  </si>
  <si>
    <t xml:space="preserve">512 atlas</t>
  </si>
  <si>
    <t xml:space="preserve">Library of ~10 parts, instanced across the board. Cheap, big realism win.</t>
  </si>
  <si>
    <t xml:space="preserve">B15</t>
  </si>
  <si>
    <t xml:space="preserve">Battery connector SOCKET (AXF361500, board side)</t>
  </si>
  <si>
    <t xml:space="preserve">BC.1-S5, BC.2-S4, BC.3-S6</t>
  </si>
  <si>
    <t xml:space="preserve">Storyboard asks for a macro product shot AND it is the Fix 6 subject</t>
  </si>
  <si>
    <t xml:space="preserve">10k</t>
  </si>
  <si>
    <t xml:space="preserve">2K gold plating</t>
  </si>
  <si>
    <t xml:space="preserve">Gold-plating texture detail is what sells this shot. Worth a proper anisotropic material.</t>
  </si>
  <si>
    <t xml:space="preserve">B16</t>
  </si>
  <si>
    <t xml:space="preserve">Battery connector HEADER (AXF461500, battery side)</t>
  </si>
  <si>
    <t xml:space="preserve">The mating half - two-part connector is the teaching point</t>
  </si>
  <si>
    <t xml:space="preserve">shares B15 atlas</t>
  </si>
  <si>
    <t xml:space="preserve">B17</t>
  </si>
  <si>
    <t xml:space="preserve">Li-po battery pouch + tabs + BMS flex</t>
  </si>
  <si>
    <t xml:space="preserve">BC.1-S1, BC.1-S6, BC.2-S4, BC.3-S7</t>
  </si>
  <si>
    <t xml:space="preserve">Disconnect-first safety rule acts on this object</t>
  </si>
  <si>
    <t xml:space="preserve">7k</t>
  </si>
  <si>
    <t xml:space="preserve">2K aluminium laminate</t>
  </si>
  <si>
    <t xml:space="preserve">B18</t>
  </si>
  <si>
    <t xml:space="preserve">Digital multimeter + probe leads</t>
  </si>
  <si>
    <t xml:space="preserve">BC.2-S1, BC.2-S3, BC.3-S6, BC.3-S7</t>
  </si>
  <si>
    <t xml:space="preserve">Learner performs the voltage test - probe placement is a motor skill</t>
  </si>
  <si>
    <t xml:space="preserve">9k</t>
  </si>
  <si>
    <t xml:space="preserve">1K + dynamic LCD</t>
  </si>
  <si>
    <t xml:space="preserve">LCD is a separate material slot driven at runtime (see U02), NOT a baked number.</t>
  </si>
  <si>
    <t xml:space="preserve">B19</t>
  </si>
  <si>
    <t xml:space="preserve">USB power meter dongle</t>
  </si>
  <si>
    <t xml:space="preserve">BC.2-S1, BC.3-S7</t>
  </si>
  <si>
    <t xml:space="preserve">Reads the actual current - the 'is it charging slowly' test</t>
  </si>
  <si>
    <t xml:space="preserve">1K + dynamic display</t>
  </si>
  <si>
    <t xml:space="preserve">B20</t>
  </si>
  <si>
    <t xml:space="preserve">Magnifying lamp</t>
  </si>
  <si>
    <t xml:space="preserve">BC.2-S1, BC.3-S1</t>
  </si>
  <si>
    <t xml:space="preserve">Named in Fix 1 step 2</t>
  </si>
  <si>
    <t xml:space="preserve">1K shared bench atlas</t>
  </si>
  <si>
    <t xml:space="preserve">B21</t>
  </si>
  <si>
    <t xml:space="preserve">Digital (Dino) microscope</t>
  </si>
  <si>
    <t xml:space="preserve">BC.2-S1, BC.3-S1, BC.3-S2</t>
  </si>
  <si>
    <t xml:space="preserve">'Inspect under magnification' recurs in 5 of 6 fixes</t>
  </si>
  <si>
    <t xml:space="preserve">B22</t>
  </si>
  <si>
    <t xml:space="preserve">Precision screwdriver set</t>
  </si>
  <si>
    <t xml:space="preserve">Opening the phone</t>
  </si>
  <si>
    <t xml:space="preserve">B23</t>
  </si>
  <si>
    <t xml:space="preserve">Plastic pry tools / spudger set</t>
  </si>
  <si>
    <t xml:space="preserve">Opening the phone without damage</t>
  </si>
  <si>
    <t xml:space="preserve">B24</t>
  </si>
  <si>
    <t xml:space="preserve">Anti-static wrist band</t>
  </si>
  <si>
    <t xml:space="preserve">BC.2-S1</t>
  </si>
  <si>
    <t xml:space="preserve">ESD discipline - visible on the bench</t>
  </si>
  <si>
    <t xml:space="preserve">B25</t>
  </si>
  <si>
    <t xml:space="preserve">Anti-static mat</t>
  </si>
  <si>
    <t xml:space="preserve">BC.2-S1, BC.3-S1, BC.3-S7</t>
  </si>
  <si>
    <t xml:space="preserve">Bench surface for every repair scene</t>
  </si>
  <si>
    <t xml:space="preserve">0.5k</t>
  </si>
  <si>
    <t xml:space="preserve">1K tileable</t>
  </si>
  <si>
    <t xml:space="preserve">B26</t>
  </si>
  <si>
    <t xml:space="preserve">PBA holder / board fixture (articulated)</t>
  </si>
  <si>
    <t xml:space="preserve">BC.2-S1, BC.3-S2, BC.3-S3, BC.3-S4, BC.3-S5, BC.3-S6</t>
  </si>
  <si>
    <t xml:space="preserve">'Hands free instead of holding the board' - the board sits in this in every rework scene</t>
  </si>
  <si>
    <t xml:space="preserve">Jaws need to open/close if you want the 'clamp the board' beat.</t>
  </si>
  <si>
    <t xml:space="preserve">B27</t>
  </si>
  <si>
    <t xml:space="preserve">Soldering iron + stand</t>
  </si>
  <si>
    <t xml:space="preserve">BC.2-S1, BC.3-S2, BC.3-S3, BC.3-S6</t>
  </si>
  <si>
    <t xml:space="preserve">Precision joint work; 'always returned to its stand' is a safety beat</t>
  </si>
  <si>
    <t xml:space="preserve">1K + emissive tip</t>
  </si>
  <si>
    <t xml:space="preserve">B28</t>
  </si>
  <si>
    <t xml:space="preserve">Hot air rework station + nozzle</t>
  </si>
  <si>
    <t xml:space="preserve">The primary instrument in 5 of the 6 fixes</t>
  </si>
  <si>
    <t xml:space="preserve">1K + digital display</t>
  </si>
  <si>
    <t xml:space="preserve">Nozzle must be a separate child object - it is what the learner aims.</t>
  </si>
  <si>
    <t xml:space="preserve">B29</t>
  </si>
  <si>
    <t xml:space="preserve">ESD-safe precision tweezers</t>
  </si>
  <si>
    <t xml:space="preserve">BC.2-S1, BC.3-S3, BC.3-S5, BC.3-S6</t>
  </si>
  <si>
    <t xml:space="preserve">Places the new part - a manipulator, not scenery</t>
  </si>
  <si>
    <t xml:space="preserve">B30</t>
  </si>
  <si>
    <t xml:space="preserve">Fume extractor arm</t>
  </si>
  <si>
    <t xml:space="preserve">'Running before you ever pick up the iron' - safety framing</t>
  </si>
  <si>
    <t xml:space="preserve">B31</t>
  </si>
  <si>
    <t xml:space="preserve">Spare parts tray</t>
  </si>
  <si>
    <t xml:space="preserve">Where the replacement part comes from</t>
  </si>
  <si>
    <t xml:space="preserve">B32</t>
  </si>
  <si>
    <t xml:space="preserve">Workbench surface + studio lighting rig</t>
  </si>
  <si>
    <t xml:space="preserve">BC.2-S1, BC.2-S2, BC.3-S1, BC.3-S2, BC.3-S3, BC.3-S4, BC.3-S5, BC.3-S6, BC.3-S7</t>
  </si>
  <si>
    <t xml:space="preserve">Shared set. Build the lighting once so every scene matches</t>
  </si>
  <si>
    <t xml:space="preserve">2K tileable + HDRI</t>
  </si>
  <si>
    <t xml:space="preserve">One lighting rig for the whole course = visual consistency for free.</t>
  </si>
  <si>
    <t xml:space="preserve">B33</t>
  </si>
  <si>
    <t xml:space="preserve">Liquid flux bottle + fine brush cap</t>
  </si>
  <si>
    <t xml:space="preserve">BC.2-S2, BC.3-S4, BC.3-S5</t>
  </si>
  <si>
    <t xml:space="preserve">'Used TWICE in almost every rework job' - learner reaches for it constantly</t>
  </si>
  <si>
    <t xml:space="preserve">1K label</t>
  </si>
  <si>
    <t xml:space="preserve">Lathe/revolve geometry. The label texture does all the work.</t>
  </si>
  <si>
    <t xml:space="preserve">B34</t>
  </si>
  <si>
    <t xml:space="preserve">Desoldering wick spool</t>
  </si>
  <si>
    <t xml:space="preserve">BC.2-S2, BC.3-S2, BC.3-S3, BC.3-S6</t>
  </si>
  <si>
    <t xml:space="preserve">Pad cleaning step in 3 fixes</t>
  </si>
  <si>
    <t xml:space="preserve">512 + braid normal</t>
  </si>
  <si>
    <t xml:space="preserve">B35</t>
  </si>
  <si>
    <t xml:space="preserve">Solder wire reel</t>
  </si>
  <si>
    <t xml:space="preserve">Forms every new joint</t>
  </si>
  <si>
    <t xml:space="preserve">512</t>
  </si>
  <si>
    <t xml:space="preserve">B36</t>
  </si>
  <si>
    <t xml:space="preserve">IPA bottle + lint-free swabs</t>
  </si>
  <si>
    <t xml:space="preserve">BC.2-S2, BC.3-S1, BC.3-S3, BC.3-S4</t>
  </si>
  <si>
    <t xml:space="preserve">Pad cleaning in 4 places</t>
  </si>
  <si>
    <t xml:space="preserve">B37</t>
  </si>
  <si>
    <t xml:space="preserve">UV-curable solder mask bottle + UV lamp</t>
  </si>
  <si>
    <t xml:space="preserve">BC.2-S2</t>
  </si>
  <si>
    <t xml:space="preserve">'Green oil' - distinctive, learners must recognise it</t>
  </si>
  <si>
    <t xml:space="preserve">1K label + emissive</t>
  </si>
  <si>
    <t xml:space="preserve">B38</t>
  </si>
  <si>
    <t xml:space="preserve">Kapton tape roll + pre-cut shielding strips</t>
  </si>
  <si>
    <t xml:space="preserve">BC.2-S2, BC.3-S4, BC.3-S5, BC.3-S6</t>
  </si>
  <si>
    <t xml:space="preserve">'Heat-resistant tape shielding neighbouring parts' - a placement action in 3 fixes</t>
  </si>
  <si>
    <t xml:space="preserve">Loose strips as separate placeable planes.</t>
  </si>
  <si>
    <t xml:space="preserve">B39</t>
  </si>
  <si>
    <t xml:space="preserve">SUS-tip cleaning stick + alcohol swab</t>
  </si>
  <si>
    <t xml:space="preserve">BC.2-S2, BC.3-S1</t>
  </si>
  <si>
    <t xml:space="preserve">THE tool for Fix 1, 'never a random sharp object'</t>
  </si>
  <si>
    <t xml:space="preserve">B40</t>
  </si>
  <si>
    <t xml:space="preserve">Solder joint state set: good / cold / cracked / bridged / dry</t>
  </si>
  <si>
    <t xml:space="preserve">BC.3</t>
  </si>
  <si>
    <t xml:space="preserve">BC.3-S2, BC.3-S3, BC.3-S4, BC.3-S5, BC.3-S6</t>
  </si>
  <si>
    <t xml:space="preserve">The entire diagnostic curriculum is joint quality. Without these there is nothing to assess</t>
  </si>
  <si>
    <t xml:space="preserve">3k each</t>
  </si>
  <si>
    <t xml:space="preserve">1K solder atlas</t>
  </si>
  <si>
    <t xml:space="preserve">HIGHEST TEACHING VALUE PER DAY IN THE WHOLE LIST. 5 swappable meshes + materials.</t>
  </si>
  <si>
    <t xml:space="preserve">B41</t>
  </si>
  <si>
    <t xml:space="preserve">Damaged port variants: bent pins / cracked housing / broken shield tabs</t>
  </si>
  <si>
    <t xml:space="preserve">BC.3-S1, BC.3-S2</t>
  </si>
  <si>
    <t xml:space="preserve">Fix 1 vs Fix 2 branches on 'dust or physical damage?' - learner must see both</t>
  </si>
  <si>
    <t xml:space="preserve">reuses B05 atlas</t>
  </si>
  <si>
    <t xml:space="preserve">Shape keys off B05, not new models.</t>
  </si>
  <si>
    <t xml:space="preserve">B42</t>
  </si>
  <si>
    <t xml:space="preserve">Damaged IFC variants: worn pads / torn ribbon / unlatched flap</t>
  </si>
  <si>
    <t xml:space="preserve">BC.3-S3</t>
  </si>
  <si>
    <t xml:space="preserve">Fix 3 trigger condition. Also the 'charges only at one angle' symptom</t>
  </si>
  <si>
    <t xml:space="preserve">reuses B10/B11</t>
  </si>
  <si>
    <t xml:space="preserve">B43</t>
  </si>
  <si>
    <t xml:space="preserve">Corroded battery connector variant</t>
  </si>
  <si>
    <t xml:space="preserve">BC.3-S6</t>
  </si>
  <si>
    <t xml:space="preserve">'If either half corrodes, the phone behaves like the battery failed'</t>
  </si>
  <si>
    <t xml:space="preserve">reuses B15</t>
  </si>
  <si>
    <t xml:space="preserve">B44</t>
  </si>
  <si>
    <t xml:space="preserve">Dust / lint / corrosion debris in port (particle set)</t>
  </si>
  <si>
    <t xml:space="preserve">BC.3-S1</t>
  </si>
  <si>
    <t xml:space="preserve">Before/after of Fix 1 needs something to remove</t>
  </si>
  <si>
    <t xml:space="preserve">512 alpha</t>
  </si>
  <si>
    <t xml:space="preserve">Fake with instanced specks + alpha - do NOT run a particle sim.</t>
  </si>
  <si>
    <t xml:space="preserve">B45</t>
  </si>
  <si>
    <t xml:space="preserve">Molten solder: melt, wet-out, wick-up (baked)</t>
  </si>
  <si>
    <t xml:space="preserve">'Lift away once solder liquifies - never pry it cold' is the core skill beat</t>
  </si>
  <si>
    <t xml:space="preserve">-</t>
  </si>
  <si>
    <t xml:space="preserve">1K emissive + flipbook</t>
  </si>
  <si>
    <t xml:space="preserve">RISK: real fluid sim does not export to real-time. Bake to vertex animation + animated shader, or pre-render this beat as video.</t>
  </si>
  <si>
    <t xml:space="preserve">B46</t>
  </si>
  <si>
    <t xml:space="preserve">Hot air stream + heat shimmer (flipbook)</t>
  </si>
  <si>
    <t xml:space="preserve">Makes the invisible tool visible; also communicates 'safe distance, 5mm away'</t>
  </si>
  <si>
    <t xml:space="preserve">512 flipbook</t>
  </si>
  <si>
    <t xml:space="preserve">Bake to a sprite sheet in Blender, play in the runtime.</t>
  </si>
  <si>
    <t xml:space="preserve">B47</t>
  </si>
  <si>
    <t xml:space="preserve">Flux wet-surface shader</t>
  </si>
  <si>
    <t xml:space="preserve">BC.3-S4, BC.3-S5</t>
  </si>
  <si>
    <t xml:space="preserve">'Apply flux around the edges' needs a visible result</t>
  </si>
  <si>
    <t xml:space="preserve">shader only</t>
  </si>
  <si>
    <t xml:space="preserve">B48</t>
  </si>
  <si>
    <t xml:space="preserve">Solder smoke wisp (flipbook)</t>
  </si>
  <si>
    <t xml:space="preserve">BC.3-S2, BC.3-S3, BC.3-S6</t>
  </si>
  <si>
    <t xml:space="preserve">Reinforces why the fume extractor runs</t>
  </si>
  <si>
    <t xml:space="preserve">A01</t>
  </si>
  <si>
    <t xml:space="preserve">ANIM: USB-C port exploded view (shell / housing / flex tail)</t>
  </si>
  <si>
    <t xml:space="preserve">BC.1-S2</t>
  </si>
  <si>
    <t xml:space="preserve">Storyboard: 'Final shot: exploded view'</t>
  </si>
  <si>
    <t xml:space="preserve">A02</t>
  </si>
  <si>
    <t xml:space="preserve">ANIM: port 180 deg cutaway rotation + sequential pin highlight</t>
  </si>
  <si>
    <t xml:space="preserve">Storyboard: 'rotating 180 deg to show the pin row', 'each pin lights up sequentially'</t>
  </si>
  <si>
    <t xml:space="preserve">Pin highlight driven by runtime material swap, camera move baked in Blender.</t>
  </si>
  <si>
    <t xml:space="preserve">A03</t>
  </si>
  <si>
    <t xml:space="preserve">ANIM: FPC path reveal, port to mainboard</t>
  </si>
  <si>
    <t xml:space="preserve">BC.1-S3</t>
  </si>
  <si>
    <t xml:space="preserve">Storyboard: 'animated view of the flex cable running from port to mainboard'</t>
  </si>
  <si>
    <t xml:space="preserve">A04</t>
  </si>
  <si>
    <t xml:space="preserve">ANIM: ZIF flap open / close + pin contact</t>
  </si>
  <si>
    <t xml:space="preserve">Storyboard: 'latch/flap lifting open... flap closing to lock'</t>
  </si>
  <si>
    <t xml:space="preserve">A05</t>
  </si>
  <si>
    <t xml:space="preserve">ANIM: macro zoom onto Charger IC</t>
  </si>
  <si>
    <t xml:space="preserve">BC.1-S4</t>
  </si>
  <si>
    <t xml:space="preserve">Storyboard: 'animated zoom into a small chip package'</t>
  </si>
  <si>
    <t xml:space="preserve">A06</t>
  </si>
  <si>
    <t xml:space="preserve">ANIM: battery connector mate / unmate</t>
  </si>
  <si>
    <t xml:space="preserve">Storyboard: 'third panel can show the two halves mated together'</t>
  </si>
  <si>
    <t xml:space="preserve">A07</t>
  </si>
  <si>
    <t xml:space="preserve">ANIM: Fix 2 - port desolder + lift</t>
  </si>
  <si>
    <t xml:space="preserve">BC.3-S2</t>
  </si>
  <si>
    <t xml:space="preserve">Steps 3-4. 'Never pry it off cold' shown, not told</t>
  </si>
  <si>
    <t xml:space="preserve">A08</t>
  </si>
  <si>
    <t xml:space="preserve">ANIM: Fix 2 - align new port, shield tabs then signal pins</t>
  </si>
  <si>
    <t xml:space="preserve">Steps 6-7. The ORDER is the lesson</t>
  </si>
  <si>
    <t xml:space="preserve">A09</t>
  </si>
  <si>
    <t xml:space="preserve">ANIM: Fix 3 - IFC ribbon peel-off</t>
  </si>
  <si>
    <t xml:space="preserve">Steps 3-4. 'Do not force it, do not pull on the port end'</t>
  </si>
  <si>
    <t xml:space="preserve">Depends on B10 rig. Schedule after B10 signs off.</t>
  </si>
  <si>
    <t xml:space="preserve">A10</t>
  </si>
  <si>
    <t xml:space="preserve">ANIM: Fix 3 - place ribbon, solder ONE corner pad first</t>
  </si>
  <si>
    <t xml:space="preserve">Steps 7-8. Sequence-critical</t>
  </si>
  <si>
    <t xml:space="preserve">A11</t>
  </si>
  <si>
    <t xml:space="preserve">ANIM: Fix 4 - IC reflow without lifting</t>
  </si>
  <si>
    <t xml:space="preserve">BC.3-S4</t>
  </si>
  <si>
    <t xml:space="preserve">'The chip itself is never lifted off the board' - contrast with Fix 5</t>
  </si>
  <si>
    <t xml:space="preserve">A12</t>
  </si>
  <si>
    <t xml:space="preserve">ANIM: Fix 5 - IC desolder, place, reflow</t>
  </si>
  <si>
    <t xml:space="preserve">BC.3-S5</t>
  </si>
  <si>
    <t xml:space="preserve">The deepest board-level fix</t>
  </si>
  <si>
    <t xml:space="preserve">A13</t>
  </si>
  <si>
    <t xml:space="preserve">ANIM: Fix 6 - battery connector replace</t>
  </si>
  <si>
    <t xml:space="preserve">Steps 3-5, with tape shielding the battery flex</t>
  </si>
  <si>
    <t xml:space="preserve">A14</t>
  </si>
  <si>
    <t xml:space="preserve">ANIM: Fix 1 - cleaning stick shake, upper + lower slots</t>
  </si>
  <si>
    <t xml:space="preserve">'About 10 times per side' - a rhythm, needs motion</t>
  </si>
  <si>
    <t xml:space="preserve">A15</t>
  </si>
  <si>
    <t xml:space="preserve">ANIM: multimeter probe placement (port + cable end-to-end)</t>
  </si>
  <si>
    <t xml:space="preserve">BC.2-S3, BC.3-S6</t>
  </si>
  <si>
    <t xml:space="preserve">Two distinct probe placements, both must be precise</t>
  </si>
  <si>
    <t xml:space="preserve">A16</t>
  </si>
  <si>
    <t xml:space="preserve">ANIM: phone reassembly + screw-to-slot sequence</t>
  </si>
  <si>
    <t xml:space="preserve">'Every screw in its labelled tray slot'</t>
  </si>
  <si>
    <t xml:space="preserve">A17</t>
  </si>
  <si>
    <t xml:space="preserve">ANIM: battery disconnect (the golden rule)</t>
  </si>
  <si>
    <t xml:space="preserve">BC.2-S4, BC.3-S2, BC.3-S3, BC.3-S5, BC.3-S6</t>
  </si>
  <si>
    <t xml:space="preserve">'Disconnect the battery FIRST' opens 5 of 6 fixes - one clip, reused</t>
  </si>
  <si>
    <t xml:space="preserve">Build once, replay at the head of every fix.</t>
  </si>
  <si>
    <t xml:space="preserve">I01</t>
  </si>
  <si>
    <t xml:space="preserve">Charging path system diagram (Wall &gt; Cable &gt; Port &gt; IC &gt; Battery)</t>
  </si>
  <si>
    <t xml:space="preserve">INFOGRAPHIC</t>
  </si>
  <si>
    <t xml:space="preserve">A causal chain, not an object. 3D adds nothing; a clean 2D chain is the mental model</t>
  </si>
  <si>
    <t xml:space="preserve">2048x1152 PNG</t>
  </si>
  <si>
    <t xml:space="preserve">This single graphic is the spine of the whole course - reference it back in every module.</t>
  </si>
  <si>
    <t xml:space="preserve">I02</t>
  </si>
  <si>
    <t xml:space="preserve">The three common problems card (no charge / slow / intermittent)</t>
  </si>
  <si>
    <t xml:space="preserve">BC.1-S1, BC.3-S1</t>
  </si>
  <si>
    <t xml:space="preserve">A taxonomy - text and icons</t>
  </si>
  <si>
    <t xml:space="preserve">1600x900</t>
  </si>
  <si>
    <t xml:space="preserve">I03</t>
  </si>
  <si>
    <t xml:space="preserve">USB-C pin function table (Row A / Row B contacts)</t>
  </si>
  <si>
    <t xml:space="preserve">It is literally a table. Modelling 24 labelled pins in 3D to read a table wastes days</t>
  </si>
  <si>
    <t xml:space="preserve">2048x1152</t>
  </si>
  <si>
    <t xml:space="preserve">I04</t>
  </si>
  <si>
    <t xml:space="preserve">USB-C signal trace overlay (VBUS / GND / CC1-CC2 / D+- / SBU)</t>
  </si>
  <si>
    <t xml:space="preserve">Electrical signal paths are INVISIBLE inside the part. No 3D geometry exists to model</t>
  </si>
  <si>
    <t xml:space="preserve">2048x1152 + transparent layer</t>
  </si>
  <si>
    <t xml:space="preserve">Author as a transparent overlay so it can sit on top of the live 3D port.</t>
  </si>
  <si>
    <t xml:space="preserve">I05</t>
  </si>
  <si>
    <t xml:space="preserve">USB-C reversibility explainer (flip the plug, one row lines up)</t>
  </si>
  <si>
    <t xml:space="preserve">'Rows A and B are electrical mirrors' is a logical relationship, best as a 2-state diagram</t>
  </si>
  <si>
    <t xml:space="preserve">I06</t>
  </si>
  <si>
    <t xml:space="preserve">Port component callout labels (9 named parts)</t>
  </si>
  <si>
    <t xml:space="preserve">Leader lines + names, drawn over the 3D render</t>
  </si>
  <si>
    <t xml:space="preserve">transparent overlay set</t>
  </si>
  <si>
    <t xml:space="preserve">Overlay on B05, not a standalone picture.</t>
  </si>
  <si>
    <t xml:space="preserve">I07</t>
  </si>
  <si>
    <t xml:space="preserve">IFC layered cross-section (latch / pins / FPC / stiffener / pads)</t>
  </si>
  <si>
    <t xml:space="preserve">A stack-up you cannot see even with the part in hand</t>
  </si>
  <si>
    <t xml:space="preserve">I08</t>
  </si>
  <si>
    <t xml:space="preserve">IFC circuit chain (Port &gt; flex tail &gt; IFC socket &gt; PBA traces)</t>
  </si>
  <si>
    <t xml:space="preserve">Storyboard asks for it explicitly as a circuit diagram overlay</t>
  </si>
  <si>
    <t xml:space="preserve">transparent overlay</t>
  </si>
  <si>
    <t xml:space="preserve">I09</t>
  </si>
  <si>
    <t xml:space="preserve">Charger IC internal block diagram (OVP &gt; buck &gt; current sense &gt; output, + I2C + thermal)</t>
  </si>
  <si>
    <t xml:space="preserve">MUST be 2D. These are functional stages inside silicon - there is no visible geometry to model</t>
  </si>
  <si>
    <t xml:space="preserve">Do NOT let anyone model this in 3D. The reference image already shows the right treatment.</t>
  </si>
  <si>
    <t xml:space="preserve">I10</t>
  </si>
  <si>
    <t xml:space="preserve">Charger IC pin / stage callouts</t>
  </si>
  <si>
    <t xml:space="preserve">Labels over the 3D chip</t>
  </si>
  <si>
    <t xml:space="preserve">I11</t>
  </si>
  <si>
    <t xml:space="preserve">Battery connector spec card (2.40mm / 1.80mm, part numbers)</t>
  </si>
  <si>
    <t xml:space="preserve">BC.1-S5</t>
  </si>
  <si>
    <t xml:space="preserve">Dimension arrows and part numbers are annotation over a render, not geometry</t>
  </si>
  <si>
    <t xml:space="preserve">I12</t>
  </si>
  <si>
    <t xml:space="preserve">Battery + BMS protection callouts (PTC, SCP IC, BSI/TH, OVP, UVP)</t>
  </si>
  <si>
    <t xml:space="preserve">BC.1-S6</t>
  </si>
  <si>
    <t xml:space="preserve">Protection ICs on the BMS strip are too small to read in 3D and are identified by name, not shape</t>
  </si>
  <si>
    <t xml:space="preserve">I13</t>
  </si>
  <si>
    <t xml:space="preserve">Tool hero cards x14 (feature callouts per tool)</t>
  </si>
  <si>
    <t xml:space="preserve">Spec bullets and 'what it does' text. Card layout, with the Blender render as the hero image</t>
  </si>
  <si>
    <t xml:space="preserve">14 x 1600x1200</t>
  </si>
  <si>
    <t xml:space="preserve">USE BLENDER RENDERS AS THE CARD IMAGE - do not buy stock photos. Consistency is the point.</t>
  </si>
  <si>
    <t xml:space="preserve">I14</t>
  </si>
  <si>
    <t xml:space="preserve">Consumable product cards x8</t>
  </si>
  <si>
    <t xml:space="preserve">Same pattern - purpose, when to use, cautions</t>
  </si>
  <si>
    <t xml:space="preserve">8 x 1600x1200</t>
  </si>
  <si>
    <t xml:space="preserve">Same rule: Blender renders inside the card.</t>
  </si>
  <si>
    <t xml:space="preserve">I15</t>
  </si>
  <si>
    <t xml:space="preserve">Multimeter anatomy card (dial, jacks, display, leads)</t>
  </si>
  <si>
    <t xml:space="preserve">BC.2-S1, BC.2-S3</t>
  </si>
  <si>
    <t xml:space="preserve">Named part identification on a flat panel - a labelled diagram beats a rotatable model</t>
  </si>
  <si>
    <t xml:space="preserve">I16</t>
  </si>
  <si>
    <t xml:space="preserve">Multimeter test procedure, 2 panels (port voltage / cable continuity)</t>
  </si>
  <si>
    <t xml:space="preserve">BC.2-S3</t>
  </si>
  <si>
    <t xml:space="preserve">Expected READINGS (~5V, 0.0 + beep) are numbers and pass/fail rules</t>
  </si>
  <si>
    <t xml:space="preserve">I17</t>
  </si>
  <si>
    <t xml:space="preserve">Fix 1 step strip (6 panels)</t>
  </si>
  <si>
    <t xml:space="preserve">A numbered procedure the learner will re-scan later. Strips beat video for recall</t>
  </si>
  <si>
    <t xml:space="preserve">2400x1600</t>
  </si>
  <si>
    <t xml:space="preserve">Build each panel from a Blender render of the matching animation frame.</t>
  </si>
  <si>
    <t xml:space="preserve">I18</t>
  </si>
  <si>
    <t xml:space="preserve">Fix 2 step strip (8 panels)</t>
  </si>
  <si>
    <t xml:space="preserve">9 ordered steps, order-critical</t>
  </si>
  <si>
    <t xml:space="preserve">Frames pulled from A07/A08.</t>
  </si>
  <si>
    <t xml:space="preserve">I19</t>
  </si>
  <si>
    <t xml:space="preserve">Fix 3 step strip (6 panels)</t>
  </si>
  <si>
    <t xml:space="preserve">10 ordered steps</t>
  </si>
  <si>
    <t xml:space="preserve">Frames pulled from A09/A10.</t>
  </si>
  <si>
    <t xml:space="preserve">I20</t>
  </si>
  <si>
    <t xml:space="preserve">Fix 4 step strip (reflow)</t>
  </si>
  <si>
    <t xml:space="preserve">6 steps + the 'let it cool undisturbed' caution</t>
  </si>
  <si>
    <t xml:space="preserve">I21</t>
  </si>
  <si>
    <t xml:space="preserve">Fix 5 step strip (PMIC replace)</t>
  </si>
  <si>
    <t xml:space="preserve">8 steps, Level-4 repair - needs a written record</t>
  </si>
  <si>
    <t xml:space="preserve">I22</t>
  </si>
  <si>
    <t xml:space="preserve">Fix 6 step strip (battery connector)</t>
  </si>
  <si>
    <t xml:space="preserve">7 steps</t>
  </si>
  <si>
    <t xml:space="preserve">I23</t>
  </si>
  <si>
    <t xml:space="preserve">Testing &amp; closing-up flowchart</t>
  </si>
  <si>
    <t xml:space="preserve">A decision flow with a loop-back ('if the fault returns, do not close the job')</t>
  </si>
  <si>
    <t xml:space="preserve">2048x1400</t>
  </si>
  <si>
    <t xml:space="preserve">I24</t>
  </si>
  <si>
    <t xml:space="preserve">Fault symptom &gt; probable cause decision tree</t>
  </si>
  <si>
    <t xml:space="preserve">BC.3-S1, BC.3-S7</t>
  </si>
  <si>
    <t xml:space="preserve">NOT IN THE STORYBOARD BUT MISSING. Three symptoms map to six fixes - learners need the map</t>
  </si>
  <si>
    <t xml:space="preserve">RECOMMENDED ADDITION. Cheapest single thing you can add to raise pass rates.</t>
  </si>
  <si>
    <t xml:space="preserve">I25</t>
  </si>
  <si>
    <t xml:space="preserve">Golden safety rule card (disconnect the battery FIRST)</t>
  </si>
  <si>
    <t xml:space="preserve">One rule, repeated at the head of 5 fixes. Must be instantly recognisable</t>
  </si>
  <si>
    <t xml:space="preserve">I26</t>
  </si>
  <si>
    <t xml:space="preserve">Temperature &amp; spec reference card (380-450C, 350-450C iron, 5mm standoff)</t>
  </si>
  <si>
    <t xml:space="preserve">BC.2-S1, BC.3-S2, BC.3-S3</t>
  </si>
  <si>
    <t xml:space="preserve">Numbers. Never model a number</t>
  </si>
  <si>
    <t xml:space="preserve">I27</t>
  </si>
  <si>
    <t xml:space="preserve">THE SHAPE RULE card: rigid metal box vs flat gold ribbon</t>
  </si>
  <si>
    <t xml:space="preserve">BC.3-S2, BC.3-S3</t>
  </si>
  <si>
    <t xml:space="preserve">Storyboard shouts 'REMEMBER THE SHAPE RULE'. Fix 2 vs Fix 3 is the commonest confusion in the course</t>
  </si>
  <si>
    <t xml:space="preserve">Pair it with a side-by-side Blender render of B05 and B10. Highest-leverage graphic in BC.3.</t>
  </si>
  <si>
    <t xml:space="preserve">I28</t>
  </si>
  <si>
    <t xml:space="preserve">Fix-selection escalation ladder (Fix 1 &gt; Fix 6, cheapest first)</t>
  </si>
  <si>
    <t xml:space="preserve">'Check each part one by one, starting with the easiest' is the whole method</t>
  </si>
  <si>
    <t xml:space="preserve">RECOMMENDED ADDITION - implied throughout, never drawn.</t>
  </si>
  <si>
    <t xml:space="preserve">P01</t>
  </si>
  <si>
    <t xml:space="preserve">Real macro photo: damaged battery connector, bent pins</t>
  </si>
  <si>
    <t xml:space="preserve">PHOTO/VIDEO</t>
  </si>
  <si>
    <t xml:space="preserve">Real corrosion and bent-pin damage is hard to model convincingly and you already have the shot (p16)</t>
  </si>
  <si>
    <t xml:space="preserve">supplied</t>
  </si>
  <si>
    <t xml:space="preserve">Pair a real photo beside the 3D as a 'this is what it looks like on a real bench' panel.</t>
  </si>
  <si>
    <t xml:space="preserve">P02</t>
  </si>
  <si>
    <t xml:space="preserve">Real photo: realme mainboard, connector locations circled</t>
  </si>
  <si>
    <t xml:space="preserve">Supplied in the storyboard; grounds the 3D in a real handset</t>
  </si>
  <si>
    <t xml:space="preserve">P03</t>
  </si>
  <si>
    <t xml:space="preserve">Real photo: Li-po battery exterior + BMS strip</t>
  </si>
  <si>
    <t xml:space="preserve">Supplied; the label text is part of the lesson</t>
  </si>
  <si>
    <t xml:space="preserve">V01</t>
  </si>
  <si>
    <t xml:space="preserve">Video (linked): battery connector explainer</t>
  </si>
  <si>
    <t xml:space="preserve">Already sourced - youtube.com/watch?v=pyIzVRzNs4M</t>
  </si>
  <si>
    <t xml:space="preserve">external</t>
  </si>
  <si>
    <t xml:space="preserve">Clear rights before embedding. Prefer re-shooting or linking out.</t>
  </si>
  <si>
    <t xml:space="preserve">V02</t>
  </si>
  <si>
    <t xml:space="preserve">Video (linked): multimeter usage</t>
  </si>
  <si>
    <t xml:space="preserve">Already sourced - youtube.com/watch?v=H8edOCVbsbs</t>
  </si>
  <si>
    <t xml:space="preserve">V03</t>
  </si>
  <si>
    <t xml:space="preserve">Video (linked): USB-C port replacement short</t>
  </si>
  <si>
    <t xml:space="preserve">Already sourced - youtube.com/shorts/xnwgaWB929M</t>
  </si>
  <si>
    <t xml:space="preserve">V04</t>
  </si>
  <si>
    <t xml:space="preserve">Video (linked): PMIC replacement short</t>
  </si>
  <si>
    <t xml:space="preserve">Already sourced - youtube.com/shorts/T32jucv8Kcg</t>
  </si>
  <si>
    <t xml:space="preserve">U01</t>
  </si>
  <si>
    <t xml:space="preserve">Quick Check MCQ engine + feedback</t>
  </si>
  <si>
    <t xml:space="preserve">RUNTIME/CODE</t>
  </si>
  <si>
    <t xml:space="preserve">BC.1-S7</t>
  </si>
  <si>
    <t xml:space="preserve">Interaction logic, not an asset</t>
  </si>
  <si>
    <t xml:space="preserve">U02</t>
  </si>
  <si>
    <t xml:space="preserve">Dynamic multimeter / power-meter readout (runtime texture)</t>
  </si>
  <si>
    <t xml:space="preserve">BC.2-S3, BC.3-S6, BC.3-S7</t>
  </si>
  <si>
    <t xml:space="preserve">The number must respond to WHERE the learner puts the probe. Cannot be baked in Blender</t>
  </si>
  <si>
    <t xml:space="preserve">canvas texture</t>
  </si>
  <si>
    <t xml:space="preserve">Blender supplies the bezel; the runtime draws the digits.</t>
  </si>
  <si>
    <t xml:space="preserve">U03</t>
  </si>
  <si>
    <t xml:space="preserve">Tool-selection / drag-and-drop interaction</t>
  </si>
  <si>
    <t xml:space="preserve">BC.2-S1, BC.2-S2, BC.3-S1</t>
  </si>
  <si>
    <t xml:space="preserve">'Pick the right tool' assessment</t>
  </si>
  <si>
    <t xml:space="preserve">U04</t>
  </si>
  <si>
    <t xml:space="preserve">Step gating, ordered-sequence validation + checklist state</t>
  </si>
  <si>
    <t xml:space="preserve">BC.3-S1, BC.3-S2, BC.3-S3, BC.3-S4, BC.3-S5, BC.3-S6, BC.3-S7</t>
  </si>
  <si>
    <t xml:space="preserve">Order-critical steps (shield tabs BEFORE signal pins) are only teachable if wrong order fails</t>
  </si>
  <si>
    <t xml:space="preserve">THE core mechanic of BC.3. Budget properly.</t>
  </si>
  <si>
    <t xml:space="preserve">U05</t>
  </si>
  <si>
    <t xml:space="preserve">Magnification / microscope camera mode</t>
  </si>
  <si>
    <t xml:space="preserve">BC.3-S1, BC.3-S2, BC.3-S3, BC.3-S4, BC.3-S5</t>
  </si>
  <si>
    <t xml:space="preserve">'Inspect under magnification' recurs constantly - a camera state, not a model</t>
  </si>
  <si>
    <t xml:space="preserve">U06</t>
  </si>
  <si>
    <t xml:space="preserve">Language switcher + VO playback sync</t>
  </si>
  <si>
    <t xml:space="preserve">BC.1-S1, BC.2-S1, BC.3-S1</t>
  </si>
  <si>
    <t xml:space="preserve">VO script column exists for every scene; multilingual is a ConveGenius baseline</t>
  </si>
  <si>
    <t xml:space="preserve">VO timing must drive the Blender clip playhead, not run alongside it.</t>
  </si>
  <si>
    <t xml:space="preserve">U07</t>
  </si>
  <si>
    <t xml:space="preserve">Progress, scoring and telemetry</t>
  </si>
  <si>
    <t xml:space="preserve">BC.1-S7, BC.3-S7</t>
  </si>
  <si>
    <t xml:space="preserve">Needed to prove competency for a TVET credential</t>
  </si>
  <si>
    <t xml:space="preserve">TOTAL (all routes)</t>
  </si>
  <si>
    <t xml:space="preserve">Person-days. See Effort Summary for the split by route and module.</t>
  </si>
  <si>
    <t xml:space="preserve">Blender build list - 3D assets, animation clips and baked effects</t>
  </si>
  <si>
    <t xml:space="preserve">Sequenced. Build the master assets in Wave 1; every later scene reuses them.</t>
  </si>
  <si>
    <t xml:space="preserve">Wave</t>
  </si>
  <si>
    <t xml:space="preserve">Tri budget</t>
  </si>
  <si>
    <t xml:space="preserve">Anim clips</t>
  </si>
  <si>
    <t xml:space="preserve">Est. days</t>
  </si>
  <si>
    <t xml:space="preserve">Build notes</t>
  </si>
  <si>
    <t xml:space="preserve">WAVE 1 - master assets (everything else depends on these)</t>
  </si>
  <si>
    <t xml:space="preserve">Wave subtotal</t>
  </si>
  <si>
    <t xml:space="preserve">WAVE 2 - remaining charging-path hardware</t>
  </si>
  <si>
    <t xml:space="preserve">WAVE 3 - bench tools and consumables (parallelisable, low risk)</t>
  </si>
  <si>
    <t xml:space="preserve">WAVE 4 - fault-state variants and baked effects</t>
  </si>
  <si>
    <t xml:space="preserve">WAVE 5 - animation clips (needs the rigs signed off first)</t>
  </si>
  <si>
    <t xml:space="preserve">BLENDER TOTAL</t>
  </si>
  <si>
    <t xml:space="preserve">Person-days for one mid-level artist. Waves 2 and 3 parallelise across 3 artists to roughly 7 calendar weeks.</t>
  </si>
  <si>
    <t xml:space="preserve">Infographic list - what should NOT be modelled in 3D</t>
  </si>
  <si>
    <t xml:space="preserve">Every item here is invisible signal flow, electrical logic, a number, a sequence or a comparison.</t>
  </si>
  <si>
    <t xml:space="preserve">Graphic name</t>
  </si>
  <si>
    <t xml:space="preserve">Why 2D beats 3D here</t>
  </si>
  <si>
    <t xml:space="preserve">Output spec</t>
  </si>
  <si>
    <t xml:space="preserve">Source image</t>
  </si>
  <si>
    <t xml:space="preserve">Vector / illustration, no 3D source needed</t>
  </si>
  <si>
    <t xml:space="preserve">Vector, from USB-C spec</t>
  </si>
  <si>
    <t xml:space="preserve">Vector overlay, sits on live B05</t>
  </si>
  <si>
    <t xml:space="preserve">Overlay on B05 render</t>
  </si>
  <si>
    <t xml:space="preserve">Overlay on B13 render</t>
  </si>
  <si>
    <t xml:space="preserve">Overlay on B15 + B16 render</t>
  </si>
  <si>
    <t xml:space="preserve">Traced from supplied photo P03</t>
  </si>
  <si>
    <t xml:space="preserve">Blender renders of B18-B32 (do not buy stock)</t>
  </si>
  <si>
    <t xml:space="preserve">Blender renders of B33-B39</t>
  </si>
  <si>
    <t xml:space="preserve">Frames from A14</t>
  </si>
  <si>
    <t xml:space="preserve">Frames from A07 + A08</t>
  </si>
  <si>
    <t xml:space="preserve">Frames from A09 + A10</t>
  </si>
  <si>
    <t xml:space="preserve">Frames from A11</t>
  </si>
  <si>
    <t xml:space="preserve">Frames from A12</t>
  </si>
  <si>
    <t xml:space="preserve">Frames from A13</t>
  </si>
  <si>
    <t xml:space="preserve">Side-by-side render of B05 vs B10</t>
  </si>
  <si>
    <t xml:space="preserve">INFOGRAPHIC TOTAL</t>
  </si>
  <si>
    <t xml:space="preserve">Amber rows (I24, I28) are NOT in the storyboard - they are recommended additions. 1.25 days combined.</t>
  </si>
  <si>
    <t xml:space="preserve">Rule: every step strip and tool card uses a Blender render as its image. Same assets, second output channel.</t>
  </si>
  <si>
    <t xml:space="preserve">Scene map - what each of the 18 scenes needs</t>
  </si>
  <si>
    <t xml:space="preserve">Shows the reuse. Very little is built for a single scene.</t>
  </si>
  <si>
    <t xml:space="preserve">Scene</t>
  </si>
  <si>
    <t xml:space="preserve">Scene name</t>
  </si>
  <si>
    <t xml:space="preserve">What the storyboard asks for</t>
  </si>
  <si>
    <t xml:space="preserve">Blender assets</t>
  </si>
  <si>
    <t xml:space="preserve">Infographics</t>
  </si>
  <si>
    <t xml:space="preserve">Photo/Video</t>
  </si>
  <si>
    <t xml:space="preserve">Runtime</t>
  </si>
  <si>
    <t xml:space="preserve">How a Phone Charges</t>
  </si>
  <si>
    <t xml:space="preserve">Wall charger &gt; cable &gt; port &gt; IC &gt; battery, the whole path in 3D on a bench</t>
  </si>
  <si>
    <t xml:space="preserve">B01, B02, B05, B06, B07, B08, B09, B10, B17</t>
  </si>
  <si>
    <t xml:space="preserve">I01, I02</t>
  </si>
  <si>
    <t xml:space="preserve">The Charging Port</t>
  </si>
  <si>
    <t xml:space="preserve">Cutaway, 180 deg rotate, sequential pin highlight, exploded view</t>
  </si>
  <si>
    <t xml:space="preserve">B05, A01, A02</t>
  </si>
  <si>
    <t xml:space="preserve">I03, I04, I05, I06</t>
  </si>
  <si>
    <t xml:space="preserve">The IFC Connector</t>
  </si>
  <si>
    <t xml:space="preserve">Flex ribbon route, ZIF flap open/close, contact pins</t>
  </si>
  <si>
    <t xml:space="preserve">B03, B10, B11, B12, A03, A04</t>
  </si>
  <si>
    <t xml:space="preserve">I07, I08</t>
  </si>
  <si>
    <t xml:space="preserve">The Charger IC</t>
  </si>
  <si>
    <t xml:space="preserve">Macro zoom onto the chip + internal stage block diagram</t>
  </si>
  <si>
    <t xml:space="preserve">B02, B13, B14, A05</t>
  </si>
  <si>
    <t xml:space="preserve">I09, I10</t>
  </si>
  <si>
    <t xml:space="preserve">The Battery Connector</t>
  </si>
  <si>
    <t xml:space="preserve">Photoreal macro of socket + header, then mated</t>
  </si>
  <si>
    <t xml:space="preserve">B15, B16, A06</t>
  </si>
  <si>
    <t xml:space="preserve">P02, V01</t>
  </si>
  <si>
    <t xml:space="preserve">The Battery</t>
  </si>
  <si>
    <t xml:space="preserve">Pouch, tabs, BMS protection callouts</t>
  </si>
  <si>
    <t xml:space="preserve">Quick Check</t>
  </si>
  <si>
    <t xml:space="preserve">MCQ - no visual asset</t>
  </si>
  <si>
    <t xml:space="preserve">U01, U07</t>
  </si>
  <si>
    <t xml:space="preserve">Tools on the Workbench</t>
  </si>
  <si>
    <t xml:space="preserve">Top-down labelled bench, 14 tools</t>
  </si>
  <si>
    <t xml:space="preserve">B18, B19, B20, B21, B22, B23, B24, B25, B26, B27, B28, B29, B30, B31, B32</t>
  </si>
  <si>
    <t xml:space="preserve">I13, I15, I26</t>
  </si>
  <si>
    <t xml:space="preserve">U03, U06</t>
  </si>
  <si>
    <t xml:space="preserve">Liquids &amp; Consumables</t>
  </si>
  <si>
    <t xml:space="preserve">8 bottles, spools and sticks</t>
  </si>
  <si>
    <t xml:space="preserve">B32, B33, B34, B35, B36, B37, B38, B39</t>
  </si>
  <si>
    <t xml:space="preserve">How to Use the Multimeter</t>
  </si>
  <si>
    <t xml:space="preserve">Probe placement at the port, then cable continuity</t>
  </si>
  <si>
    <t xml:space="preserve">B05, B06, B07, B18, A15</t>
  </si>
  <si>
    <t xml:space="preserve">I15, I16</t>
  </si>
  <si>
    <t xml:space="preserve">BC.2-S4</t>
  </si>
  <si>
    <t xml:space="preserve">Golden Safety Rule &amp; Recap</t>
  </si>
  <si>
    <t xml:space="preserve">Disconnect the battery first</t>
  </si>
  <si>
    <t xml:space="preserve">B15, B16, B17, A06, A17</t>
  </si>
  <si>
    <t xml:space="preserve">Fix 1 - Clean the charging port</t>
  </si>
  <si>
    <t xml:space="preserve">SUS stick in the slots, before/after dust</t>
  </si>
  <si>
    <t xml:space="preserve">B01, B05, B06, B20, B21, B25, B32, B36, B39, B41, B44, A14</t>
  </si>
  <si>
    <t xml:space="preserve">I02, I17, I24, I28</t>
  </si>
  <si>
    <t xml:space="preserve">U03, U04, U05, U06</t>
  </si>
  <si>
    <t xml:space="preserve">Fix 2 - Replace the port (metal box)</t>
  </si>
  <si>
    <t xml:space="preserve">Hot air desolder, pad clean, new port, tabs then pins</t>
  </si>
  <si>
    <t xml:space="preserve">B02, B05, B10, B14, B21, B26, B27, B28, B31, B32, B34, B35, B40, B41, B45, B46, B48, A07, A08, A17</t>
  </si>
  <si>
    <t xml:space="preserve">I18, I25, I26, I27</t>
  </si>
  <si>
    <t xml:space="preserve">U04, U05</t>
  </si>
  <si>
    <t xml:space="preserve">Fix 3 - Replace the IFC ribbon</t>
  </si>
  <si>
    <t xml:space="preserve">Peel the flex, clean pads, one corner first</t>
  </si>
  <si>
    <t xml:space="preserve">B02, B03, B10, B11, B12, B26, B27, B28, B29, B31, B32, B34, B35, B36, B40, B42, B45, B46, B48, A04, A09, A10, A17</t>
  </si>
  <si>
    <t xml:space="preserve">I19, I25, I26, I27</t>
  </si>
  <si>
    <t xml:space="preserve">Fix 4 - Reflow the Charger IC</t>
  </si>
  <si>
    <t xml:space="preserve">Reheat the BGA balls without lifting the chip</t>
  </si>
  <si>
    <t xml:space="preserve">B02, B13, B14, B26, B28, B32, B33, B36, B38, B40, B45, B46, B47, A11</t>
  </si>
  <si>
    <t xml:space="preserve">Fix 5 - Replace the Charger IC</t>
  </si>
  <si>
    <t xml:space="preserve">Desolder, place, reflow under magnification</t>
  </si>
  <si>
    <t xml:space="preserve">B02, B13, B14, B26, B28, B29, B32, B33, B38, B40, B45, B46, B47, A12, A17</t>
  </si>
  <si>
    <t xml:space="preserve">I21, I25</t>
  </si>
  <si>
    <t xml:space="preserve">Fix 6 - Replace the battery connector</t>
  </si>
  <si>
    <t xml:space="preserve">Hot air, tape shield, new connector</t>
  </si>
  <si>
    <t xml:space="preserve">B02, B14, B15, B16, B18, B26, B27, B28, B29, B31, B32, B34, B35, B38, B40, B43, B45, B46, B48, A06, A13, A15, A17</t>
  </si>
  <si>
    <t xml:space="preserve">I22, I25</t>
  </si>
  <si>
    <t xml:space="preserve">U02, U04</t>
  </si>
  <si>
    <t xml:space="preserve">Testing &amp; Closing Up</t>
  </si>
  <si>
    <t xml:space="preserve">Reassemble, screws to tray slots, TA + USB test</t>
  </si>
  <si>
    <t xml:space="preserve">B01, B04, B06, B07, B08, B17, B18, B19, B22, B23, B25, B32, A16</t>
  </si>
  <si>
    <t xml:space="preserve">I23, I24, I28</t>
  </si>
  <si>
    <t xml:space="preserve">U02, U04, U07</t>
  </si>
  <si>
    <t xml:space="preserve">Effort summary</t>
  </si>
  <si>
    <t xml:space="preserve">All figures are formulas over the Asset Register. Change a day estimate there and this updates.</t>
  </si>
  <si>
    <t xml:space="preserve">BY PRODUCTION ROUTE</t>
  </si>
  <si>
    <t xml:space="preserve">READING THIS SHEET</t>
  </si>
  <si>
    <t xml:space="preserve">Assets</t>
  </si>
  <si>
    <t xml:space="preserve">% of days</t>
  </si>
  <si>
    <t xml:space="preserve">The Blender share of effort is large but it buys the whole course, not one module - the</t>
  </si>
  <si>
    <t xml:space="preserve">master assets (B02 mainboard, B05 port, B10 flex, B11 ZIF socket) carry 18 scenes between them.</t>
  </si>
  <si>
    <t xml:space="preserve">Infographics are a small fraction of the days and cover the content 3D genuinely cannot</t>
  </si>
  <si>
    <t xml:space="preserve">TOTAL</t>
  </si>
  <si>
    <t xml:space="preserve">reach: signal flow, chip-internal stages, spec numbers, ordered procedures, comparisons.</t>
  </si>
  <si>
    <t xml:space="preserve">Runtime/code is not an art cost and is under-scoped here on purpose - U04 (ordered-step</t>
  </si>
  <si>
    <t xml:space="preserve">BY MODULE</t>
  </si>
  <si>
    <t xml:space="preserve">validation) is the real core mechanic of BC.3 and deserves its own engineering estimate.</t>
  </si>
  <si>
    <t xml:space="preserve">The High-complexity rows are where schedule risk lives: B02, B05, B10, B11, B45, A09, A12, U02, U04.</t>
  </si>
  <si>
    <t xml:space="preserve">Start those first and give them your strongest people.</t>
  </si>
  <si>
    <t xml:space="preserve">BY COMPLEXITY</t>
  </si>
  <si>
    <t xml:space="preserve">CALENDAR VIEW</t>
  </si>
  <si>
    <t xml:space="preserve">Blender person-days</t>
  </si>
  <si>
    <t xml:space="preserve">Yellow cells are inputs - change the team size and the weeks recalculate.</t>
  </si>
  <si>
    <t xml:space="preserve">Blender artists assumed</t>
  </si>
  <si>
    <t xml:space="preserve">Blender calendar weeks (5-day week)</t>
  </si>
  <si>
    <t xml:space="preserve">Infographic person-days</t>
  </si>
  <si>
    <t xml:space="preserve">Designers assumed</t>
  </si>
  <si>
    <t xml:space="preserve">Infographic calendar weeks</t>
  </si>
  <si>
    <t xml:space="preserve">Runtime/code person-days</t>
  </si>
  <si>
    <t xml:space="preserve">Total person-days (all routes)</t>
  </si>
  <si>
    <t xml:space="preserve">Total distinct assets</t>
  </si>
  <si>
    <t xml:space="preserve">Total animation clips</t>
  </si>
  <si>
    <t xml:space="preserve">Open decisions and schedule risks</t>
  </si>
  <si>
    <t xml:space="preserve">Settle the top four before anyone opens Blender.</t>
  </si>
  <si>
    <t xml:space="preserve">#</t>
  </si>
  <si>
    <t xml:space="preserve">Decision / risk</t>
  </si>
  <si>
    <t xml:space="preserve">Where it bites</t>
  </si>
  <si>
    <t xml:space="preserve">Options</t>
  </si>
  <si>
    <t xml:space="preserve">Recommendation</t>
  </si>
  <si>
    <t xml:space="preserve">Cost of getting it wrong</t>
  </si>
  <si>
    <t xml:space="preserve">Owner</t>
  </si>
  <si>
    <t xml:space="preserve">Decide by</t>
  </si>
  <si>
    <t xml:space="preserve">Molten solder: real sim or baked?</t>
  </si>
  <si>
    <t xml:space="preserve">B45; every fix in BC.3</t>
  </si>
  <si>
    <t xml:space="preserve">(a) Blender fluid sim, pre-rendered to video for that beat  (b) baked vertex animation + animated emissive shader, stays interactive  (c) skip the melt, cut straight to 'joint done'</t>
  </si>
  <si>
    <t xml:space="preserve">(b) for the fixes, (a) only for the one hero close-up in Fix 2. Never (c) - 'lift only once it liquifies' is the skill.</t>
  </si>
  <si>
    <t xml:space="preserve">Rework of 5 animation clips. ~8 days lost if discovered late.</t>
  </si>
  <si>
    <t xml:space="preserve">3D lead</t>
  </si>
  <si>
    <t xml:space="preserve">Before Wave 4</t>
  </si>
  <si>
    <t xml:space="preserve">Hands on screen, or tools only?</t>
  </si>
  <si>
    <t xml:space="preserve">Every BC.3 scene; storyboard says 'technician using...'</t>
  </si>
  <si>
    <t xml:space="preserve">(a) model + rig hands  (b) tool-only convention, instrument moves with no hands  (c) real video inserts for the hand-skill beats</t>
  </si>
  <si>
    <t xml:space="preserve">(b). Reads better at macro scale, it is what teardown videos do, and it saves 15-20 days plus constant clipping fixes.</t>
  </si>
  <si>
    <t xml:space="preserve">15-20 days and a permanent clipping problem across every fix.</t>
  </si>
  <si>
    <t xml:space="preserve">Producer</t>
  </si>
  <si>
    <t xml:space="preserve">Before Wave 1</t>
  </si>
  <si>
    <t xml:space="preserve">FPC ribbon deformation method</t>
  </si>
  <si>
    <t xml:space="preserve">B10, A09 - the peel-off in Fix 3</t>
  </si>
  <si>
    <t xml:space="preserve">(a) Blender cloth sim  (b) bone chain  (c) shape keys  (d) pre-rendered video</t>
  </si>
  <si>
    <t xml:space="preserve">(b) bone chain, baked to glTF. Cloth sim does not survive export. A09 cannot start until this rig signs off.</t>
  </si>
  <si>
    <t xml:space="preserve">A09 blocked. Fix 3 is the most misdiagnosed fault in the course - cannot ship it weak.</t>
  </si>
  <si>
    <t xml:space="preserve">Runtime: extend the existing three.js stack, or Unity WebGL?</t>
  </si>
  <si>
    <t xml:space="preserve">Whole build</t>
  </si>
  <si>
    <t xml:space="preserve">(a) React + three.js, same as the welding sim  (b) Unity WebGL  (c) pre-rendered video + 2D interaction only</t>
  </si>
  <si>
    <t xml:space="preserve">(a) if the welding sim's runtime is reusable - you already have the shell, the language switcher and the step gating.</t>
  </si>
  <si>
    <t xml:space="preserve">A second engine means a second asset pipeline and no shared components.</t>
  </si>
  <si>
    <t xml:space="preserve">Eng lead</t>
  </si>
  <si>
    <t xml:space="preserve">Do the Charger IC internal stages get modelled?</t>
  </si>
  <si>
    <t xml:space="preserve">I09; BC.1-S4</t>
  </si>
  <si>
    <t xml:space="preserve">(a) 2D block diagram  (b) stylised 3D 'inside the chip' scene</t>
  </si>
  <si>
    <t xml:space="preserve">(a). OVP, buck converter and current sense are functional blocks in silicon with no visible geometry. The supplied reference already shows the right treatment.</t>
  </si>
  <si>
    <t xml:space="preserve">A week or more spent modelling something invented, that teaches less than the diagram.</t>
  </si>
  <si>
    <t xml:space="preserve">Instructional lead</t>
  </si>
  <si>
    <t xml:space="preserve">Before I09 starts</t>
  </si>
  <si>
    <t xml:space="preserve">YouTube links: embed, license, or reshoot?</t>
  </si>
  <si>
    <t xml:space="preserve">V01-V04</t>
  </si>
  <si>
    <t xml:space="preserve">(a) link out  (b) license  (c) reshoot on your own bench</t>
  </si>
  <si>
    <t xml:space="preserve">(c) for anything that ends up inside the assessed flow; (a) is fine for optional 'watch more'.</t>
  </si>
  <si>
    <t xml:space="preserve">Rights exposure on a government-facing TVET product.</t>
  </si>
  <si>
    <t xml:space="preserve">Content lead</t>
  </si>
  <si>
    <t xml:space="preserve">Before BC.3 review</t>
  </si>
  <si>
    <t xml:space="preserve">Which handset does the 3D match?</t>
  </si>
  <si>
    <t xml:space="preserve">B01, B02 - and therefore everything</t>
  </si>
  <si>
    <t xml:space="preserve">(a) generic mid-range Android  (b) match the realme unit in the supplied photos  (c) several models</t>
  </si>
  <si>
    <t xml:space="preserve">(a) generic, but photographed alongside the real realme shots (P02) so learners can bridge. (c) triples the asset count.</t>
  </si>
  <si>
    <t xml:space="preserve">Learners trained on a board layout they never meet. Or 3x the modelling budget.</t>
  </si>
  <si>
    <t xml:space="preserve">Asset weight on low-end Android</t>
  </si>
  <si>
    <t xml:space="preserve">All Blender assets</t>
  </si>
  <si>
    <t xml:space="preserve">(a) budget from day one: Draco + KTX2, 8MB per scene ceiling  (b) optimise at the end</t>
  </si>
  <si>
    <t xml:space="preserve">(a). Retrofitting compression across 51 assets is far more expensive than building to budget.</t>
  </si>
  <si>
    <t xml:space="preserve">A course that will not load on the devices it was built for.</t>
  </si>
  <si>
    <t xml:space="preserve">Solder joint state set - in or out of scope?</t>
  </si>
  <si>
    <t xml:space="preserve">(a) build all 5 states  (b) good/bad only  (c) skip</t>
  </si>
  <si>
    <t xml:space="preserve">(a). 1.5 days for the highest teaching value per day on the whole list - it is what makes the diagnosis assessable.</t>
  </si>
  <si>
    <t xml:space="preserve">No way to assess joint quality, which is most of the curriculum.</t>
  </si>
  <si>
    <t xml:space="preserve">Two missing graphics (I24 fault tree, I28 fix ladder)</t>
  </si>
  <si>
    <t xml:space="preserve">BC.3 as a whole</t>
  </si>
  <si>
    <t xml:space="preserve">(a) add both  (b) leave the storyboard as written</t>
  </si>
  <si>
    <t xml:space="preserve">(a). 1.25 days combined. 'Start with the easiest thing first' is stated in the VO and never drawn.</t>
  </si>
  <si>
    <t xml:space="preserve">Learners memorise six fixes without a map for choosing between them.</t>
  </si>
  <si>
    <t xml:space="preserve">Before BC.3 design</t>
  </si>
  <si>
    <t xml:space="preserve">Amber rows are the four that block the start of modelling.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</si>
</sst>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%"/>
    <numFmt numFmtId="168" formatCode="0.0"/>
    <numFmt numFmtId="169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sz val="9.5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1F5C2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DEEBF7"/>
        <bgColor rgb="FFE2EFDA"/>
      </patternFill>
    </fill>
    <fill>
      <patternFill patternType="solid">
        <fgColor rgb="FFE2EFDA"/>
        <bgColor rgb="FFDEEBF7"/>
      </patternFill>
    </fill>
    <fill>
      <patternFill patternType="solid">
        <fgColor rgb="FFFCE4EC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5C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 t="s">
        <v>7</v>
      </c>
    </row>
    <row r="10" customFormat="false" ht="15" hidden="false" customHeight="true" outlineLevel="0" collapsed="false">
      <c r="A10" s="5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5" t="s">
        <v>10</v>
      </c>
    </row>
    <row r="14" customFormat="false" ht="15" hidden="false" customHeight="true" outlineLevel="0" collapsed="false">
      <c r="A14" s="5" t="s">
        <v>11</v>
      </c>
    </row>
    <row r="15" customFormat="false" ht="15" hidden="false" customHeight="true" outlineLevel="0" collapsed="false">
      <c r="A15" s="5" t="s">
        <v>12</v>
      </c>
    </row>
    <row r="16" customFormat="false" ht="15" hidden="false" customHeight="true" outlineLevel="0" collapsed="false">
      <c r="A16" s="5" t="s">
        <v>13</v>
      </c>
    </row>
    <row r="17" customFormat="false" ht="15" hidden="false" customHeight="true" outlineLevel="0" collapsed="false">
      <c r="A17" s="5" t="s">
        <v>14</v>
      </c>
    </row>
    <row r="18" customFormat="false" ht="15" hidden="false" customHeight="true" outlineLevel="0" collapsed="false">
      <c r="A18" s="5" t="s">
        <v>15</v>
      </c>
    </row>
    <row r="19" customFormat="false" ht="15" hidden="false" customHeight="true" outlineLevel="0" collapsed="false">
      <c r="A19" s="5" t="s">
        <v>16</v>
      </c>
    </row>
    <row r="20" customFormat="false" ht="15" hidden="false" customHeight="true" outlineLevel="0" collapsed="false">
      <c r="A20" s="5" t="s">
        <v>17</v>
      </c>
    </row>
    <row r="22" customFormat="false" ht="15" hidden="false" customHeight="true" outlineLevel="0" collapsed="false">
      <c r="A22" s="4" t="s">
        <v>18</v>
      </c>
    </row>
    <row r="23" customFormat="false" ht="15" hidden="false" customHeight="true" outlineLevel="0" collapsed="false">
      <c r="A23" s="5" t="s">
        <v>19</v>
      </c>
    </row>
    <row r="24" customFormat="false" ht="15" hidden="false" customHeight="true" outlineLevel="0" collapsed="false">
      <c r="A24" s="5" t="s">
        <v>20</v>
      </c>
    </row>
    <row r="25" customFormat="false" ht="15" hidden="false" customHeight="true" outlineLevel="0" collapsed="false">
      <c r="A25" s="5" t="s">
        <v>21</v>
      </c>
    </row>
    <row r="26" customFormat="false" ht="15" hidden="false" customHeight="true" outlineLevel="0" collapsed="false">
      <c r="A26" s="5" t="s">
        <v>22</v>
      </c>
    </row>
    <row r="27" customFormat="false" ht="15" hidden="false" customHeight="true" outlineLevel="0" collapsed="false">
      <c r="A27" s="5" t="s">
        <v>23</v>
      </c>
    </row>
    <row r="28" customFormat="false" ht="15" hidden="false" customHeight="true" outlineLevel="0" collapsed="false">
      <c r="A28" s="5" t="s">
        <v>24</v>
      </c>
    </row>
    <row r="29" customFormat="false" ht="15" hidden="false" customHeight="true" outlineLevel="0" collapsed="false">
      <c r="A29" s="5" t="s">
        <v>25</v>
      </c>
    </row>
    <row r="30" customFormat="false" ht="15" hidden="false" customHeight="true" outlineLevel="0" collapsed="false">
      <c r="A30" s="5" t="s">
        <v>26</v>
      </c>
    </row>
    <row r="31" customFormat="false" ht="15" hidden="false" customHeight="true" outlineLevel="0" collapsed="false">
      <c r="A31" s="5" t="s">
        <v>27</v>
      </c>
    </row>
    <row r="32" customFormat="false" ht="15" hidden="false" customHeight="true" outlineLevel="0" collapsed="false">
      <c r="A32" s="5" t="s">
        <v>28</v>
      </c>
    </row>
    <row r="34" customFormat="false" ht="15" hidden="false" customHeight="true" outlineLevel="0" collapsed="false">
      <c r="A34" s="4" t="s">
        <v>29</v>
      </c>
    </row>
    <row r="35" customFormat="false" ht="15" hidden="false" customHeight="true" outlineLevel="0" collapsed="false">
      <c r="A35" s="5" t="s">
        <v>30</v>
      </c>
    </row>
    <row r="36" customFormat="false" ht="15" hidden="false" customHeight="true" outlineLevel="0" collapsed="false">
      <c r="A36" s="5" t="s">
        <v>31</v>
      </c>
    </row>
    <row r="37" customFormat="false" ht="15" hidden="false" customHeight="true" outlineLevel="0" collapsed="false">
      <c r="A37" s="5" t="s">
        <v>32</v>
      </c>
    </row>
    <row r="38" customFormat="false" ht="15" hidden="false" customHeight="true" outlineLevel="0" collapsed="false">
      <c r="A38" s="5" t="s">
        <v>33</v>
      </c>
    </row>
    <row r="40" customFormat="false" ht="15" hidden="false" customHeight="true" outlineLevel="0" collapsed="false">
      <c r="A40" s="4" t="s">
        <v>34</v>
      </c>
    </row>
    <row r="41" customFormat="false" ht="15" hidden="false" customHeight="true" outlineLevel="0" collapsed="false">
      <c r="A41" s="5" t="s">
        <v>35</v>
      </c>
    </row>
    <row r="42" customFormat="false" ht="15" hidden="false" customHeight="true" outlineLevel="0" collapsed="false">
      <c r="A42" s="5" t="s">
        <v>36</v>
      </c>
    </row>
    <row r="43" customFormat="false" ht="15" hidden="false" customHeight="true" outlineLevel="0" collapsed="false">
      <c r="A43" s="5" t="s">
        <v>37</v>
      </c>
    </row>
    <row r="44" customFormat="false" ht="15" hidden="false" customHeight="true" outlineLevel="0" collapsed="false">
      <c r="A44" s="5" t="s">
        <v>38</v>
      </c>
    </row>
    <row r="45" customFormat="false" ht="15" hidden="false" customHeight="true" outlineLevel="0" collapsed="false">
      <c r="A45" s="5" t="s">
        <v>39</v>
      </c>
    </row>
    <row r="47" customFormat="false" ht="15" hidden="false" customHeight="true" outlineLevel="0" collapsed="false">
      <c r="A47" s="4" t="s">
        <v>40</v>
      </c>
    </row>
    <row r="48" customFormat="false" ht="15" hidden="false" customHeight="true" outlineLevel="0" collapsed="false">
      <c r="A48" s="5" t="s">
        <v>41</v>
      </c>
    </row>
    <row r="49" customFormat="false" ht="15" hidden="false" customHeight="true" outlineLevel="0" collapsed="false">
      <c r="A49" s="5" t="s">
        <v>42</v>
      </c>
    </row>
    <row r="50" customFormat="false" ht="15" hidden="false" customHeight="true" outlineLevel="0" collapsed="false">
      <c r="A50" s="5" t="s">
        <v>43</v>
      </c>
    </row>
    <row r="52" customFormat="false" ht="15" hidden="false" customHeight="false" outlineLevel="0" collapsed="false">
      <c r="A52" s="6" t="s">
        <v>44</v>
      </c>
    </row>
    <row r="53" customFormat="false" ht="15" hidden="false" customHeight="false" outlineLevel="0" collapsed="false">
      <c r="A53" s="7" t="s">
        <v>45</v>
      </c>
    </row>
    <row r="54" customFormat="false" ht="15" hidden="false" customHeight="false" outlineLevel="0" collapsed="false">
      <c r="A54" s="7" t="s">
        <v>46</v>
      </c>
    </row>
    <row r="55" customFormat="false" ht="15" hidden="false" customHeight="false" outlineLevel="0" collapsed="false">
      <c r="A55" s="7" t="s">
        <v>47</v>
      </c>
    </row>
    <row r="56" customFormat="false" ht="15" hidden="false" customHeight="false" outlineLevel="0" collapsed="false">
      <c r="A56" s="7" t="s">
        <v>48</v>
      </c>
    </row>
    <row r="57" customFormat="false" ht="15" hidden="false" customHeight="false" outlineLevel="0" collapsed="false">
      <c r="A57" s="7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30"/>
    <col collapsed="false" customWidth="true" hidden="false" outlineLevel="0" max="6" min="6" style="1" width="8"/>
    <col collapsed="false" customWidth="true" hidden="false" outlineLevel="0" max="7" min="7" style="1" width="52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1" min="10" style="1" width="7"/>
    <col collapsed="false" customWidth="true" hidden="false" outlineLevel="0" max="12" min="12" style="1" width="11"/>
    <col collapsed="false" customWidth="true" hidden="false" outlineLevel="0" max="13" min="13" style="1" width="62"/>
  </cols>
  <sheetData>
    <row r="1" customFormat="false" ht="18" hidden="false" customHeight="true" outlineLevel="0" collapsed="false">
      <c r="A1" s="2" t="s">
        <v>50</v>
      </c>
    </row>
    <row r="2" customFormat="false" ht="15" hidden="false" customHeight="true" outlineLevel="0" collapsed="false">
      <c r="A2" s="3" t="s">
        <v>51</v>
      </c>
    </row>
    <row r="4" customFormat="false" ht="33.75" hidden="false" customHeight="true" outlineLevel="0" collapsed="false">
      <c r="A4" s="8" t="s">
        <v>52</v>
      </c>
      <c r="B4" s="8" t="s">
        <v>53</v>
      </c>
      <c r="C4" s="8" t="s">
        <v>54</v>
      </c>
      <c r="D4" s="8" t="s">
        <v>55</v>
      </c>
      <c r="E4" s="8" t="s">
        <v>56</v>
      </c>
      <c r="F4" s="8" t="s">
        <v>57</v>
      </c>
      <c r="G4" s="8" t="s">
        <v>58</v>
      </c>
      <c r="H4" s="8" t="s">
        <v>59</v>
      </c>
      <c r="I4" s="8" t="s">
        <v>60</v>
      </c>
      <c r="J4" s="8" t="s">
        <v>61</v>
      </c>
      <c r="K4" s="8" t="s">
        <v>62</v>
      </c>
      <c r="L4" s="8" t="s">
        <v>63</v>
      </c>
      <c r="M4" s="8" t="s">
        <v>64</v>
      </c>
    </row>
    <row r="5" customFormat="false" ht="21.75" hidden="false" customHeight="true" outlineLevel="0" collapsed="false">
      <c r="A5" s="9" t="s">
        <v>65</v>
      </c>
      <c r="B5" s="10" t="s">
        <v>66</v>
      </c>
      <c r="C5" s="11" t="s">
        <v>67</v>
      </c>
      <c r="D5" s="11" t="s">
        <v>68</v>
      </c>
      <c r="E5" s="12" t="s">
        <v>69</v>
      </c>
      <c r="F5" s="13" t="n">
        <f aca="false">LEN(E5)-LEN(SUBSTITUTE(E5,",",""))+1</f>
        <v>3</v>
      </c>
      <c r="G5" s="12" t="s">
        <v>70</v>
      </c>
      <c r="H5" s="13" t="s">
        <v>71</v>
      </c>
      <c r="I5" s="12" t="s">
        <v>72</v>
      </c>
      <c r="J5" s="13" t="n">
        <v>0</v>
      </c>
      <c r="K5" s="14" t="n">
        <v>3</v>
      </c>
      <c r="L5" s="13" t="s">
        <v>73</v>
      </c>
      <c r="M5" s="12" t="s">
        <v>74</v>
      </c>
    </row>
    <row r="6" customFormat="false" ht="21.75" hidden="false" customHeight="true" outlineLevel="0" collapsed="false">
      <c r="A6" s="9" t="s">
        <v>75</v>
      </c>
      <c r="B6" s="10" t="s">
        <v>76</v>
      </c>
      <c r="C6" s="11" t="s">
        <v>67</v>
      </c>
      <c r="D6" s="11" t="s">
        <v>68</v>
      </c>
      <c r="E6" s="12" t="s">
        <v>77</v>
      </c>
      <c r="F6" s="13" t="n">
        <f aca="false">LEN(E6)-LEN(SUBSTITUTE(E6,",",""))+1</f>
        <v>7</v>
      </c>
      <c r="G6" s="12" t="s">
        <v>78</v>
      </c>
      <c r="H6" s="13" t="s">
        <v>79</v>
      </c>
      <c r="I6" s="12" t="s">
        <v>80</v>
      </c>
      <c r="J6" s="13" t="n">
        <v>0</v>
      </c>
      <c r="K6" s="14" t="n">
        <v>4</v>
      </c>
      <c r="L6" s="15" t="s">
        <v>81</v>
      </c>
      <c r="M6" s="12" t="s">
        <v>82</v>
      </c>
    </row>
    <row r="7" customFormat="false" ht="21.75" hidden="false" customHeight="true" outlineLevel="0" collapsed="false">
      <c r="A7" s="9" t="s">
        <v>83</v>
      </c>
      <c r="B7" s="10" t="s">
        <v>84</v>
      </c>
      <c r="C7" s="11" t="s">
        <v>67</v>
      </c>
      <c r="D7" s="11" t="s">
        <v>68</v>
      </c>
      <c r="E7" s="12" t="s">
        <v>85</v>
      </c>
      <c r="F7" s="13" t="n">
        <f aca="false">LEN(E7)-LEN(SUBSTITUTE(E7,",",""))+1</f>
        <v>2</v>
      </c>
      <c r="G7" s="12" t="s">
        <v>86</v>
      </c>
      <c r="H7" s="13" t="s">
        <v>87</v>
      </c>
      <c r="I7" s="12" t="s">
        <v>88</v>
      </c>
      <c r="J7" s="13" t="n">
        <v>0</v>
      </c>
      <c r="K7" s="14" t="n">
        <v>1</v>
      </c>
      <c r="L7" s="13" t="s">
        <v>89</v>
      </c>
      <c r="M7" s="12"/>
    </row>
    <row r="8" customFormat="false" ht="21.75" hidden="false" customHeight="true" outlineLevel="0" collapsed="false">
      <c r="A8" s="9" t="s">
        <v>90</v>
      </c>
      <c r="B8" s="10" t="s">
        <v>91</v>
      </c>
      <c r="C8" s="11" t="s">
        <v>92</v>
      </c>
      <c r="D8" s="11" t="s">
        <v>68</v>
      </c>
      <c r="E8" s="12" t="s">
        <v>93</v>
      </c>
      <c r="F8" s="13" t="n">
        <f aca="false">LEN(E8)-LEN(SUBSTITUTE(E8,",",""))+1</f>
        <v>1</v>
      </c>
      <c r="G8" s="12" t="s">
        <v>94</v>
      </c>
      <c r="H8" s="13" t="s">
        <v>95</v>
      </c>
      <c r="I8" s="12" t="s">
        <v>96</v>
      </c>
      <c r="J8" s="13" t="n">
        <v>0</v>
      </c>
      <c r="K8" s="14" t="n">
        <v>1</v>
      </c>
      <c r="L8" s="13" t="s">
        <v>89</v>
      </c>
      <c r="M8" s="12" t="s">
        <v>97</v>
      </c>
    </row>
    <row r="9" customFormat="false" ht="21.75" hidden="false" customHeight="true" outlineLevel="0" collapsed="false">
      <c r="A9" s="9" t="s">
        <v>98</v>
      </c>
      <c r="B9" s="10" t="s">
        <v>99</v>
      </c>
      <c r="C9" s="11" t="s">
        <v>67</v>
      </c>
      <c r="D9" s="11" t="s">
        <v>68</v>
      </c>
      <c r="E9" s="12" t="s">
        <v>100</v>
      </c>
      <c r="F9" s="13" t="n">
        <f aca="false">LEN(E9)-LEN(SUBSTITUTE(E9,",",""))+1</f>
        <v>5</v>
      </c>
      <c r="G9" s="12" t="s">
        <v>101</v>
      </c>
      <c r="H9" s="13" t="s">
        <v>102</v>
      </c>
      <c r="I9" s="12" t="s">
        <v>103</v>
      </c>
      <c r="J9" s="13" t="n">
        <v>2</v>
      </c>
      <c r="K9" s="14" t="n">
        <v>4</v>
      </c>
      <c r="L9" s="15" t="s">
        <v>81</v>
      </c>
      <c r="M9" s="12" t="s">
        <v>104</v>
      </c>
    </row>
    <row r="10" customFormat="false" ht="15" hidden="false" customHeight="true" outlineLevel="0" collapsed="false">
      <c r="A10" s="9" t="s">
        <v>105</v>
      </c>
      <c r="B10" s="10" t="s">
        <v>106</v>
      </c>
      <c r="C10" s="11" t="s">
        <v>67</v>
      </c>
      <c r="D10" s="11" t="s">
        <v>68</v>
      </c>
      <c r="E10" s="12" t="s">
        <v>107</v>
      </c>
      <c r="F10" s="13" t="n">
        <f aca="false">LEN(E10)-LEN(SUBSTITUTE(E10,",",""))+1</f>
        <v>4</v>
      </c>
      <c r="G10" s="12" t="s">
        <v>108</v>
      </c>
      <c r="H10" s="13" t="s">
        <v>109</v>
      </c>
      <c r="I10" s="12" t="s">
        <v>110</v>
      </c>
      <c r="J10" s="13" t="n">
        <v>0</v>
      </c>
      <c r="K10" s="14" t="n">
        <v>1</v>
      </c>
      <c r="L10" s="13" t="s">
        <v>89</v>
      </c>
      <c r="M10" s="12"/>
    </row>
    <row r="11" customFormat="false" ht="15" hidden="false" customHeight="true" outlineLevel="0" collapsed="false">
      <c r="A11" s="9" t="s">
        <v>111</v>
      </c>
      <c r="B11" s="10" t="s">
        <v>112</v>
      </c>
      <c r="C11" s="11" t="s">
        <v>67</v>
      </c>
      <c r="D11" s="11" t="s">
        <v>68</v>
      </c>
      <c r="E11" s="12" t="s">
        <v>113</v>
      </c>
      <c r="F11" s="13" t="n">
        <f aca="false">LEN(E11)-LEN(SUBSTITUTE(E11,",",""))+1</f>
        <v>3</v>
      </c>
      <c r="G11" s="12" t="s">
        <v>114</v>
      </c>
      <c r="H11" s="13" t="s">
        <v>115</v>
      </c>
      <c r="I11" s="12" t="s">
        <v>116</v>
      </c>
      <c r="J11" s="13" t="n">
        <v>1</v>
      </c>
      <c r="K11" s="14" t="n">
        <v>1</v>
      </c>
      <c r="L11" s="13" t="s">
        <v>89</v>
      </c>
      <c r="M11" s="12" t="s">
        <v>117</v>
      </c>
    </row>
    <row r="12" customFormat="false" ht="15" hidden="false" customHeight="true" outlineLevel="0" collapsed="false">
      <c r="A12" s="9" t="s">
        <v>118</v>
      </c>
      <c r="B12" s="10" t="s">
        <v>119</v>
      </c>
      <c r="C12" s="11" t="s">
        <v>67</v>
      </c>
      <c r="D12" s="11" t="s">
        <v>68</v>
      </c>
      <c r="E12" s="12" t="s">
        <v>120</v>
      </c>
      <c r="F12" s="13" t="n">
        <f aca="false">LEN(E12)-LEN(SUBSTITUTE(E12,",",""))+1</f>
        <v>2</v>
      </c>
      <c r="G12" s="12" t="s">
        <v>121</v>
      </c>
      <c r="H12" s="13" t="s">
        <v>122</v>
      </c>
      <c r="I12" s="12" t="s">
        <v>123</v>
      </c>
      <c r="J12" s="13" t="n">
        <v>0</v>
      </c>
      <c r="K12" s="14" t="n">
        <v>1</v>
      </c>
      <c r="L12" s="13" t="s">
        <v>89</v>
      </c>
      <c r="M12" s="12"/>
    </row>
    <row r="13" customFormat="false" ht="15" hidden="false" customHeight="true" outlineLevel="0" collapsed="false">
      <c r="A13" s="9" t="s">
        <v>124</v>
      </c>
      <c r="B13" s="10" t="s">
        <v>125</v>
      </c>
      <c r="C13" s="11" t="s">
        <v>67</v>
      </c>
      <c r="D13" s="11" t="s">
        <v>68</v>
      </c>
      <c r="E13" s="12" t="s">
        <v>126</v>
      </c>
      <c r="F13" s="13" t="n">
        <f aca="false">LEN(E13)-LEN(SUBSTITUTE(E13,",",""))+1</f>
        <v>1</v>
      </c>
      <c r="G13" s="12" t="s">
        <v>127</v>
      </c>
      <c r="H13" s="13" t="s">
        <v>128</v>
      </c>
      <c r="I13" s="12" t="s">
        <v>96</v>
      </c>
      <c r="J13" s="13" t="n">
        <v>0</v>
      </c>
      <c r="K13" s="14" t="n">
        <v>0.5</v>
      </c>
      <c r="L13" s="13" t="s">
        <v>89</v>
      </c>
      <c r="M13" s="12"/>
    </row>
    <row r="14" customFormat="false" ht="21.75" hidden="false" customHeight="true" outlineLevel="0" collapsed="false">
      <c r="A14" s="9" t="s">
        <v>129</v>
      </c>
      <c r="B14" s="10" t="s">
        <v>130</v>
      </c>
      <c r="C14" s="11" t="s">
        <v>67</v>
      </c>
      <c r="D14" s="11" t="s">
        <v>68</v>
      </c>
      <c r="E14" s="12" t="s">
        <v>131</v>
      </c>
      <c r="F14" s="13" t="n">
        <f aca="false">LEN(E14)-LEN(SUBSTITUTE(E14,",",""))+1</f>
        <v>4</v>
      </c>
      <c r="G14" s="12" t="s">
        <v>132</v>
      </c>
      <c r="H14" s="13" t="s">
        <v>109</v>
      </c>
      <c r="I14" s="12" t="s">
        <v>133</v>
      </c>
      <c r="J14" s="13" t="n">
        <v>2</v>
      </c>
      <c r="K14" s="14" t="n">
        <v>3</v>
      </c>
      <c r="L14" s="15" t="s">
        <v>81</v>
      </c>
      <c r="M14" s="12" t="s">
        <v>134</v>
      </c>
    </row>
    <row r="15" customFormat="false" ht="21.75" hidden="false" customHeight="true" outlineLevel="0" collapsed="false">
      <c r="A15" s="9" t="s">
        <v>135</v>
      </c>
      <c r="B15" s="10" t="s">
        <v>136</v>
      </c>
      <c r="C15" s="11" t="s">
        <v>67</v>
      </c>
      <c r="D15" s="11" t="s">
        <v>68</v>
      </c>
      <c r="E15" s="12" t="s">
        <v>85</v>
      </c>
      <c r="F15" s="13" t="n">
        <f aca="false">LEN(E15)-LEN(SUBSTITUTE(E15,",",""))+1</f>
        <v>2</v>
      </c>
      <c r="G15" s="12" t="s">
        <v>137</v>
      </c>
      <c r="H15" s="13" t="s">
        <v>138</v>
      </c>
      <c r="I15" s="12" t="s">
        <v>139</v>
      </c>
      <c r="J15" s="13" t="n">
        <v>2</v>
      </c>
      <c r="K15" s="14" t="n">
        <v>4</v>
      </c>
      <c r="L15" s="15" t="s">
        <v>81</v>
      </c>
      <c r="M15" s="12" t="s">
        <v>140</v>
      </c>
    </row>
    <row r="16" customFormat="false" ht="15" hidden="false" customHeight="true" outlineLevel="0" collapsed="false">
      <c r="A16" s="9" t="s">
        <v>141</v>
      </c>
      <c r="B16" s="10" t="s">
        <v>142</v>
      </c>
      <c r="C16" s="11" t="s">
        <v>67</v>
      </c>
      <c r="D16" s="11" t="s">
        <v>68</v>
      </c>
      <c r="E16" s="12" t="s">
        <v>85</v>
      </c>
      <c r="F16" s="13" t="n">
        <f aca="false">LEN(E16)-LEN(SUBSTITUTE(E16,",",""))+1</f>
        <v>2</v>
      </c>
      <c r="G16" s="12" t="s">
        <v>143</v>
      </c>
      <c r="H16" s="13" t="s">
        <v>144</v>
      </c>
      <c r="I16" s="12" t="s">
        <v>145</v>
      </c>
      <c r="J16" s="13" t="n">
        <v>0</v>
      </c>
      <c r="K16" s="14" t="n">
        <v>0.5</v>
      </c>
      <c r="L16" s="13" t="s">
        <v>89</v>
      </c>
      <c r="M16" s="12"/>
    </row>
    <row r="17" customFormat="false" ht="21.75" hidden="false" customHeight="true" outlineLevel="0" collapsed="false">
      <c r="A17" s="9" t="s">
        <v>146</v>
      </c>
      <c r="B17" s="10" t="s">
        <v>147</v>
      </c>
      <c r="C17" s="11" t="s">
        <v>67</v>
      </c>
      <c r="D17" s="11" t="s">
        <v>68</v>
      </c>
      <c r="E17" s="12" t="s">
        <v>148</v>
      </c>
      <c r="F17" s="13" t="n">
        <f aca="false">LEN(E17)-LEN(SUBSTITUTE(E17,",",""))+1</f>
        <v>3</v>
      </c>
      <c r="G17" s="12" t="s">
        <v>149</v>
      </c>
      <c r="H17" s="13" t="s">
        <v>122</v>
      </c>
      <c r="I17" s="12" t="s">
        <v>123</v>
      </c>
      <c r="J17" s="13" t="n">
        <v>1</v>
      </c>
      <c r="K17" s="14" t="n">
        <v>2</v>
      </c>
      <c r="L17" s="13" t="s">
        <v>73</v>
      </c>
      <c r="M17" s="12" t="s">
        <v>150</v>
      </c>
    </row>
    <row r="18" customFormat="false" ht="21.75" hidden="false" customHeight="true" outlineLevel="0" collapsed="false">
      <c r="A18" s="9" t="s">
        <v>151</v>
      </c>
      <c r="B18" s="10" t="s">
        <v>152</v>
      </c>
      <c r="C18" s="11" t="s">
        <v>67</v>
      </c>
      <c r="D18" s="11" t="s">
        <v>68</v>
      </c>
      <c r="E18" s="12" t="s">
        <v>153</v>
      </c>
      <c r="F18" s="13" t="n">
        <f aca="false">LEN(E18)-LEN(SUBSTITUTE(E18,",",""))+1</f>
        <v>5</v>
      </c>
      <c r="G18" s="12" t="s">
        <v>154</v>
      </c>
      <c r="H18" s="13" t="s">
        <v>109</v>
      </c>
      <c r="I18" s="12" t="s">
        <v>155</v>
      </c>
      <c r="J18" s="13" t="n">
        <v>0</v>
      </c>
      <c r="K18" s="14" t="n">
        <v>1.5</v>
      </c>
      <c r="L18" s="13" t="s">
        <v>89</v>
      </c>
      <c r="M18" s="12" t="s">
        <v>156</v>
      </c>
    </row>
    <row r="19" customFormat="false" ht="21.75" hidden="false" customHeight="true" outlineLevel="0" collapsed="false">
      <c r="A19" s="9" t="s">
        <v>157</v>
      </c>
      <c r="B19" s="10" t="s">
        <v>158</v>
      </c>
      <c r="C19" s="11" t="s">
        <v>67</v>
      </c>
      <c r="D19" s="11" t="s">
        <v>68</v>
      </c>
      <c r="E19" s="12" t="s">
        <v>159</v>
      </c>
      <c r="F19" s="13" t="n">
        <f aca="false">LEN(E19)-LEN(SUBSTITUTE(E19,",",""))+1</f>
        <v>3</v>
      </c>
      <c r="G19" s="12" t="s">
        <v>160</v>
      </c>
      <c r="H19" s="13" t="s">
        <v>161</v>
      </c>
      <c r="I19" s="12" t="s">
        <v>162</v>
      </c>
      <c r="J19" s="13" t="n">
        <v>1</v>
      </c>
      <c r="K19" s="14" t="n">
        <v>2</v>
      </c>
      <c r="L19" s="13" t="s">
        <v>73</v>
      </c>
      <c r="M19" s="12" t="s">
        <v>163</v>
      </c>
    </row>
    <row r="20" customFormat="false" ht="15" hidden="false" customHeight="true" outlineLevel="0" collapsed="false">
      <c r="A20" s="9" t="s">
        <v>164</v>
      </c>
      <c r="B20" s="10" t="s">
        <v>165</v>
      </c>
      <c r="C20" s="11" t="s">
        <v>67</v>
      </c>
      <c r="D20" s="11" t="s">
        <v>68</v>
      </c>
      <c r="E20" s="12" t="s">
        <v>159</v>
      </c>
      <c r="F20" s="13" t="n">
        <f aca="false">LEN(E20)-LEN(SUBSTITUTE(E20,",",""))+1</f>
        <v>3</v>
      </c>
      <c r="G20" s="12" t="s">
        <v>166</v>
      </c>
      <c r="H20" s="13" t="s">
        <v>87</v>
      </c>
      <c r="I20" s="12" t="s">
        <v>167</v>
      </c>
      <c r="J20" s="13" t="n">
        <v>1</v>
      </c>
      <c r="K20" s="14" t="n">
        <v>2</v>
      </c>
      <c r="L20" s="13" t="s">
        <v>73</v>
      </c>
      <c r="M20" s="12"/>
    </row>
    <row r="21" customFormat="false" ht="15" hidden="false" customHeight="true" outlineLevel="0" collapsed="false">
      <c r="A21" s="9" t="s">
        <v>168</v>
      </c>
      <c r="B21" s="10" t="s">
        <v>169</v>
      </c>
      <c r="C21" s="11" t="s">
        <v>67</v>
      </c>
      <c r="D21" s="11" t="s">
        <v>68</v>
      </c>
      <c r="E21" s="12" t="s">
        <v>170</v>
      </c>
      <c r="F21" s="13" t="n">
        <f aca="false">LEN(E21)-LEN(SUBSTITUTE(E21,",",""))+1</f>
        <v>4</v>
      </c>
      <c r="G21" s="12" t="s">
        <v>171</v>
      </c>
      <c r="H21" s="13" t="s">
        <v>172</v>
      </c>
      <c r="I21" s="12" t="s">
        <v>173</v>
      </c>
      <c r="J21" s="13" t="n">
        <v>1</v>
      </c>
      <c r="K21" s="14" t="n">
        <v>2</v>
      </c>
      <c r="L21" s="13" t="s">
        <v>73</v>
      </c>
      <c r="M21" s="12"/>
    </row>
    <row r="22" customFormat="false" ht="15" hidden="false" customHeight="true" outlineLevel="0" collapsed="false">
      <c r="A22" s="9" t="s">
        <v>174</v>
      </c>
      <c r="B22" s="10" t="s">
        <v>175</v>
      </c>
      <c r="C22" s="11" t="s">
        <v>92</v>
      </c>
      <c r="D22" s="11" t="s">
        <v>68</v>
      </c>
      <c r="E22" s="12" t="s">
        <v>176</v>
      </c>
      <c r="F22" s="13" t="n">
        <f aca="false">LEN(E22)-LEN(SUBSTITUTE(E22,",",""))+1</f>
        <v>4</v>
      </c>
      <c r="G22" s="12" t="s">
        <v>177</v>
      </c>
      <c r="H22" s="13" t="s">
        <v>178</v>
      </c>
      <c r="I22" s="12" t="s">
        <v>179</v>
      </c>
      <c r="J22" s="13" t="n">
        <v>2</v>
      </c>
      <c r="K22" s="14" t="n">
        <v>2</v>
      </c>
      <c r="L22" s="13" t="s">
        <v>73</v>
      </c>
      <c r="M22" s="12" t="s">
        <v>180</v>
      </c>
    </row>
    <row r="23" customFormat="false" ht="15" hidden="false" customHeight="true" outlineLevel="0" collapsed="false">
      <c r="A23" s="9" t="s">
        <v>181</v>
      </c>
      <c r="B23" s="10" t="s">
        <v>182</v>
      </c>
      <c r="C23" s="11" t="s">
        <v>92</v>
      </c>
      <c r="D23" s="11" t="s">
        <v>68</v>
      </c>
      <c r="E23" s="12" t="s">
        <v>183</v>
      </c>
      <c r="F23" s="13" t="n">
        <f aca="false">LEN(E23)-LEN(SUBSTITUTE(E23,",",""))+1</f>
        <v>2</v>
      </c>
      <c r="G23" s="12" t="s">
        <v>184</v>
      </c>
      <c r="H23" s="13" t="s">
        <v>95</v>
      </c>
      <c r="I23" s="12" t="s">
        <v>185</v>
      </c>
      <c r="J23" s="13" t="n">
        <v>0</v>
      </c>
      <c r="K23" s="14" t="n">
        <v>1</v>
      </c>
      <c r="L23" s="13" t="s">
        <v>89</v>
      </c>
      <c r="M23" s="12"/>
    </row>
    <row r="24" customFormat="false" ht="15" hidden="false" customHeight="true" outlineLevel="0" collapsed="false">
      <c r="A24" s="9" t="s">
        <v>186</v>
      </c>
      <c r="B24" s="10" t="s">
        <v>187</v>
      </c>
      <c r="C24" s="11" t="s">
        <v>92</v>
      </c>
      <c r="D24" s="11" t="s">
        <v>68</v>
      </c>
      <c r="E24" s="12" t="s">
        <v>188</v>
      </c>
      <c r="F24" s="13" t="n">
        <f aca="false">LEN(E24)-LEN(SUBSTITUTE(E24,",",""))+1</f>
        <v>2</v>
      </c>
      <c r="G24" s="12" t="s">
        <v>189</v>
      </c>
      <c r="H24" s="13" t="s">
        <v>95</v>
      </c>
      <c r="I24" s="12" t="s">
        <v>190</v>
      </c>
      <c r="J24" s="13" t="n">
        <v>0</v>
      </c>
      <c r="K24" s="14" t="n">
        <v>1</v>
      </c>
      <c r="L24" s="13" t="s">
        <v>89</v>
      </c>
      <c r="M24" s="12"/>
    </row>
    <row r="25" customFormat="false" ht="15" hidden="false" customHeight="true" outlineLevel="0" collapsed="false">
      <c r="A25" s="9" t="s">
        <v>191</v>
      </c>
      <c r="B25" s="10" t="s">
        <v>192</v>
      </c>
      <c r="C25" s="11" t="s">
        <v>92</v>
      </c>
      <c r="D25" s="11" t="s">
        <v>68</v>
      </c>
      <c r="E25" s="12" t="s">
        <v>193</v>
      </c>
      <c r="F25" s="13" t="n">
        <f aca="false">LEN(E25)-LEN(SUBSTITUTE(E25,",",""))+1</f>
        <v>3</v>
      </c>
      <c r="G25" s="12" t="s">
        <v>194</v>
      </c>
      <c r="H25" s="13" t="s">
        <v>109</v>
      </c>
      <c r="I25" s="12" t="s">
        <v>190</v>
      </c>
      <c r="J25" s="13" t="n">
        <v>0</v>
      </c>
      <c r="K25" s="14" t="n">
        <v>1.5</v>
      </c>
      <c r="L25" s="13" t="s">
        <v>73</v>
      </c>
      <c r="M25" s="12"/>
    </row>
    <row r="26" customFormat="false" ht="15" hidden="false" customHeight="true" outlineLevel="0" collapsed="false">
      <c r="A26" s="9" t="s">
        <v>195</v>
      </c>
      <c r="B26" s="10" t="s">
        <v>196</v>
      </c>
      <c r="C26" s="11" t="s">
        <v>92</v>
      </c>
      <c r="D26" s="11" t="s">
        <v>68</v>
      </c>
      <c r="E26" s="12" t="s">
        <v>183</v>
      </c>
      <c r="F26" s="13" t="n">
        <f aca="false">LEN(E26)-LEN(SUBSTITUTE(E26,",",""))+1</f>
        <v>2</v>
      </c>
      <c r="G26" s="12" t="s">
        <v>197</v>
      </c>
      <c r="H26" s="13" t="s">
        <v>115</v>
      </c>
      <c r="I26" s="12" t="s">
        <v>96</v>
      </c>
      <c r="J26" s="13" t="n">
        <v>0</v>
      </c>
      <c r="K26" s="14" t="n">
        <v>1</v>
      </c>
      <c r="L26" s="13" t="s">
        <v>89</v>
      </c>
      <c r="M26" s="12"/>
    </row>
    <row r="27" customFormat="false" ht="15" hidden="false" customHeight="true" outlineLevel="0" collapsed="false">
      <c r="A27" s="9" t="s">
        <v>198</v>
      </c>
      <c r="B27" s="10" t="s">
        <v>199</v>
      </c>
      <c r="C27" s="11" t="s">
        <v>92</v>
      </c>
      <c r="D27" s="11" t="s">
        <v>68</v>
      </c>
      <c r="E27" s="12" t="s">
        <v>183</v>
      </c>
      <c r="F27" s="13" t="n">
        <f aca="false">LEN(E27)-LEN(SUBSTITUTE(E27,",",""))+1</f>
        <v>2</v>
      </c>
      <c r="G27" s="12" t="s">
        <v>200</v>
      </c>
      <c r="H27" s="13" t="s">
        <v>144</v>
      </c>
      <c r="I27" s="12" t="s">
        <v>96</v>
      </c>
      <c r="J27" s="13" t="n">
        <v>0</v>
      </c>
      <c r="K27" s="14" t="n">
        <v>0.5</v>
      </c>
      <c r="L27" s="13" t="s">
        <v>89</v>
      </c>
      <c r="M27" s="12"/>
    </row>
    <row r="28" customFormat="false" ht="15" hidden="false" customHeight="true" outlineLevel="0" collapsed="false">
      <c r="A28" s="9" t="s">
        <v>201</v>
      </c>
      <c r="B28" s="10" t="s">
        <v>202</v>
      </c>
      <c r="C28" s="11" t="s">
        <v>92</v>
      </c>
      <c r="D28" s="11" t="s">
        <v>68</v>
      </c>
      <c r="E28" s="12" t="s">
        <v>203</v>
      </c>
      <c r="F28" s="13" t="n">
        <f aca="false">LEN(E28)-LEN(SUBSTITUTE(E28,",",""))+1</f>
        <v>1</v>
      </c>
      <c r="G28" s="12" t="s">
        <v>204</v>
      </c>
      <c r="H28" s="13" t="s">
        <v>144</v>
      </c>
      <c r="I28" s="12" t="s">
        <v>96</v>
      </c>
      <c r="J28" s="13" t="n">
        <v>0</v>
      </c>
      <c r="K28" s="14" t="n">
        <v>0.5</v>
      </c>
      <c r="L28" s="13" t="s">
        <v>89</v>
      </c>
      <c r="M28" s="12"/>
    </row>
    <row r="29" customFormat="false" ht="15" hidden="false" customHeight="true" outlineLevel="0" collapsed="false">
      <c r="A29" s="9" t="s">
        <v>205</v>
      </c>
      <c r="B29" s="10" t="s">
        <v>206</v>
      </c>
      <c r="C29" s="11" t="s">
        <v>92</v>
      </c>
      <c r="D29" s="11" t="s">
        <v>68</v>
      </c>
      <c r="E29" s="12" t="s">
        <v>207</v>
      </c>
      <c r="F29" s="13" t="n">
        <f aca="false">LEN(E29)-LEN(SUBSTITUTE(E29,",",""))+1</f>
        <v>3</v>
      </c>
      <c r="G29" s="12" t="s">
        <v>208</v>
      </c>
      <c r="H29" s="13" t="s">
        <v>209</v>
      </c>
      <c r="I29" s="12" t="s">
        <v>210</v>
      </c>
      <c r="J29" s="13" t="n">
        <v>0</v>
      </c>
      <c r="K29" s="14" t="n">
        <v>0.25</v>
      </c>
      <c r="L29" s="13" t="s">
        <v>89</v>
      </c>
      <c r="M29" s="12"/>
    </row>
    <row r="30" customFormat="false" ht="21.75" hidden="false" customHeight="true" outlineLevel="0" collapsed="false">
      <c r="A30" s="9" t="s">
        <v>211</v>
      </c>
      <c r="B30" s="10" t="s">
        <v>212</v>
      </c>
      <c r="C30" s="11" t="s">
        <v>92</v>
      </c>
      <c r="D30" s="11" t="s">
        <v>68</v>
      </c>
      <c r="E30" s="12" t="s">
        <v>213</v>
      </c>
      <c r="F30" s="13" t="n">
        <f aca="false">LEN(E30)-LEN(SUBSTITUTE(E30,",",""))+1</f>
        <v>6</v>
      </c>
      <c r="G30" s="12" t="s">
        <v>214</v>
      </c>
      <c r="H30" s="13" t="s">
        <v>87</v>
      </c>
      <c r="I30" s="12" t="s">
        <v>123</v>
      </c>
      <c r="J30" s="13" t="n">
        <v>1</v>
      </c>
      <c r="K30" s="14" t="n">
        <v>2</v>
      </c>
      <c r="L30" s="13" t="s">
        <v>73</v>
      </c>
      <c r="M30" s="12" t="s">
        <v>215</v>
      </c>
    </row>
    <row r="31" customFormat="false" ht="15" hidden="false" customHeight="true" outlineLevel="0" collapsed="false">
      <c r="A31" s="9" t="s">
        <v>216</v>
      </c>
      <c r="B31" s="10" t="s">
        <v>217</v>
      </c>
      <c r="C31" s="11" t="s">
        <v>92</v>
      </c>
      <c r="D31" s="11" t="s">
        <v>68</v>
      </c>
      <c r="E31" s="12" t="s">
        <v>218</v>
      </c>
      <c r="F31" s="13" t="n">
        <f aca="false">LEN(E31)-LEN(SUBSTITUTE(E31,",",""))+1</f>
        <v>4</v>
      </c>
      <c r="G31" s="12" t="s">
        <v>219</v>
      </c>
      <c r="H31" s="13" t="s">
        <v>109</v>
      </c>
      <c r="I31" s="12" t="s">
        <v>220</v>
      </c>
      <c r="J31" s="13" t="n">
        <v>1</v>
      </c>
      <c r="K31" s="14" t="n">
        <v>1.5</v>
      </c>
      <c r="L31" s="13" t="s">
        <v>73</v>
      </c>
      <c r="M31" s="12"/>
    </row>
    <row r="32" customFormat="false" ht="21.75" hidden="false" customHeight="true" outlineLevel="0" collapsed="false">
      <c r="A32" s="9" t="s">
        <v>221</v>
      </c>
      <c r="B32" s="10" t="s">
        <v>222</v>
      </c>
      <c r="C32" s="11" t="s">
        <v>92</v>
      </c>
      <c r="D32" s="11" t="s">
        <v>68</v>
      </c>
      <c r="E32" s="12" t="s">
        <v>213</v>
      </c>
      <c r="F32" s="13" t="n">
        <f aca="false">LEN(E32)-LEN(SUBSTITUTE(E32,",",""))+1</f>
        <v>6</v>
      </c>
      <c r="G32" s="12" t="s">
        <v>223</v>
      </c>
      <c r="H32" s="13" t="s">
        <v>161</v>
      </c>
      <c r="I32" s="12" t="s">
        <v>224</v>
      </c>
      <c r="J32" s="13" t="n">
        <v>1</v>
      </c>
      <c r="K32" s="14" t="n">
        <v>2</v>
      </c>
      <c r="L32" s="13" t="s">
        <v>73</v>
      </c>
      <c r="M32" s="12" t="s">
        <v>225</v>
      </c>
    </row>
    <row r="33" customFormat="false" ht="15" hidden="false" customHeight="true" outlineLevel="0" collapsed="false">
      <c r="A33" s="9" t="s">
        <v>226</v>
      </c>
      <c r="B33" s="10" t="s">
        <v>227</v>
      </c>
      <c r="C33" s="11" t="s">
        <v>92</v>
      </c>
      <c r="D33" s="11" t="s">
        <v>68</v>
      </c>
      <c r="E33" s="12" t="s">
        <v>228</v>
      </c>
      <c r="F33" s="13" t="n">
        <f aca="false">LEN(E33)-LEN(SUBSTITUTE(E33,",",""))+1</f>
        <v>4</v>
      </c>
      <c r="G33" s="12" t="s">
        <v>229</v>
      </c>
      <c r="H33" s="13" t="s">
        <v>144</v>
      </c>
      <c r="I33" s="12" t="s">
        <v>96</v>
      </c>
      <c r="J33" s="13" t="n">
        <v>1</v>
      </c>
      <c r="K33" s="14" t="n">
        <v>0.75</v>
      </c>
      <c r="L33" s="13" t="s">
        <v>89</v>
      </c>
      <c r="M33" s="12"/>
    </row>
    <row r="34" customFormat="false" ht="15" hidden="false" customHeight="true" outlineLevel="0" collapsed="false">
      <c r="A34" s="9" t="s">
        <v>230</v>
      </c>
      <c r="B34" s="10" t="s">
        <v>231</v>
      </c>
      <c r="C34" s="11" t="s">
        <v>92</v>
      </c>
      <c r="D34" s="11" t="s">
        <v>68</v>
      </c>
      <c r="E34" s="12" t="s">
        <v>203</v>
      </c>
      <c r="F34" s="13" t="n">
        <f aca="false">LEN(E34)-LEN(SUBSTITUTE(E34,",",""))+1</f>
        <v>1</v>
      </c>
      <c r="G34" s="12" t="s">
        <v>232</v>
      </c>
      <c r="H34" s="13" t="s">
        <v>172</v>
      </c>
      <c r="I34" s="12" t="s">
        <v>123</v>
      </c>
      <c r="J34" s="13" t="n">
        <v>0</v>
      </c>
      <c r="K34" s="14" t="n">
        <v>1.5</v>
      </c>
      <c r="L34" s="13" t="s">
        <v>73</v>
      </c>
      <c r="M34" s="12"/>
    </row>
    <row r="35" customFormat="false" ht="15" hidden="false" customHeight="true" outlineLevel="0" collapsed="false">
      <c r="A35" s="9" t="s">
        <v>233</v>
      </c>
      <c r="B35" s="10" t="s">
        <v>234</v>
      </c>
      <c r="C35" s="11" t="s">
        <v>92</v>
      </c>
      <c r="D35" s="11" t="s">
        <v>68</v>
      </c>
      <c r="E35" s="12" t="s">
        <v>218</v>
      </c>
      <c r="F35" s="13" t="n">
        <f aca="false">LEN(E35)-LEN(SUBSTITUTE(E35,",",""))+1</f>
        <v>4</v>
      </c>
      <c r="G35" s="12" t="s">
        <v>235</v>
      </c>
      <c r="H35" s="13" t="s">
        <v>144</v>
      </c>
      <c r="I35" s="12" t="s">
        <v>96</v>
      </c>
      <c r="J35" s="13" t="n">
        <v>0</v>
      </c>
      <c r="K35" s="14" t="n">
        <v>0.5</v>
      </c>
      <c r="L35" s="13" t="s">
        <v>89</v>
      </c>
      <c r="M35" s="12"/>
    </row>
    <row r="36" customFormat="false" ht="32.25" hidden="false" customHeight="true" outlineLevel="0" collapsed="false">
      <c r="A36" s="9" t="s">
        <v>236</v>
      </c>
      <c r="B36" s="10" t="s">
        <v>237</v>
      </c>
      <c r="C36" s="11" t="s">
        <v>92</v>
      </c>
      <c r="D36" s="11" t="s">
        <v>68</v>
      </c>
      <c r="E36" s="12" t="s">
        <v>238</v>
      </c>
      <c r="F36" s="13" t="n">
        <f aca="false">LEN(E36)-LEN(SUBSTITUTE(E36,",",""))+1</f>
        <v>9</v>
      </c>
      <c r="G36" s="12" t="s">
        <v>239</v>
      </c>
      <c r="H36" s="13" t="s">
        <v>144</v>
      </c>
      <c r="I36" s="12" t="s">
        <v>240</v>
      </c>
      <c r="J36" s="13" t="n">
        <v>0</v>
      </c>
      <c r="K36" s="14" t="n">
        <v>1.5</v>
      </c>
      <c r="L36" s="13" t="s">
        <v>73</v>
      </c>
      <c r="M36" s="12" t="s">
        <v>241</v>
      </c>
    </row>
    <row r="37" customFormat="false" ht="21.75" hidden="false" customHeight="true" outlineLevel="0" collapsed="false">
      <c r="A37" s="9" t="s">
        <v>242</v>
      </c>
      <c r="B37" s="10" t="s">
        <v>243</v>
      </c>
      <c r="C37" s="11" t="s">
        <v>92</v>
      </c>
      <c r="D37" s="11" t="s">
        <v>68</v>
      </c>
      <c r="E37" s="12" t="s">
        <v>244</v>
      </c>
      <c r="F37" s="13" t="n">
        <f aca="false">LEN(E37)-LEN(SUBSTITUTE(E37,",",""))+1</f>
        <v>3</v>
      </c>
      <c r="G37" s="12" t="s">
        <v>245</v>
      </c>
      <c r="H37" s="13" t="s">
        <v>144</v>
      </c>
      <c r="I37" s="12" t="s">
        <v>246</v>
      </c>
      <c r="J37" s="13" t="n">
        <v>0</v>
      </c>
      <c r="K37" s="14" t="n">
        <v>0.75</v>
      </c>
      <c r="L37" s="13" t="s">
        <v>89</v>
      </c>
      <c r="M37" s="12" t="s">
        <v>247</v>
      </c>
    </row>
    <row r="38" customFormat="false" ht="15" hidden="false" customHeight="true" outlineLevel="0" collapsed="false">
      <c r="A38" s="9" t="s">
        <v>248</v>
      </c>
      <c r="B38" s="10" t="s">
        <v>249</v>
      </c>
      <c r="C38" s="11" t="s">
        <v>92</v>
      </c>
      <c r="D38" s="11" t="s">
        <v>68</v>
      </c>
      <c r="E38" s="12" t="s">
        <v>250</v>
      </c>
      <c r="F38" s="13" t="n">
        <f aca="false">LEN(E38)-LEN(SUBSTITUTE(E38,",",""))+1</f>
        <v>4</v>
      </c>
      <c r="G38" s="12" t="s">
        <v>251</v>
      </c>
      <c r="H38" s="13" t="s">
        <v>144</v>
      </c>
      <c r="I38" s="12" t="s">
        <v>252</v>
      </c>
      <c r="J38" s="13" t="n">
        <v>0</v>
      </c>
      <c r="K38" s="14" t="n">
        <v>0.5</v>
      </c>
      <c r="L38" s="13" t="s">
        <v>89</v>
      </c>
      <c r="M38" s="12"/>
    </row>
    <row r="39" customFormat="false" ht="15" hidden="false" customHeight="true" outlineLevel="0" collapsed="false">
      <c r="A39" s="9" t="s">
        <v>253</v>
      </c>
      <c r="B39" s="10" t="s">
        <v>254</v>
      </c>
      <c r="C39" s="11" t="s">
        <v>92</v>
      </c>
      <c r="D39" s="11" t="s">
        <v>68</v>
      </c>
      <c r="E39" s="12" t="s">
        <v>250</v>
      </c>
      <c r="F39" s="13" t="n">
        <f aca="false">LEN(E39)-LEN(SUBSTITUTE(E39,",",""))+1</f>
        <v>4</v>
      </c>
      <c r="G39" s="12" t="s">
        <v>255</v>
      </c>
      <c r="H39" s="13" t="s">
        <v>144</v>
      </c>
      <c r="I39" s="12" t="s">
        <v>256</v>
      </c>
      <c r="J39" s="13" t="n">
        <v>0</v>
      </c>
      <c r="K39" s="14" t="n">
        <v>0.5</v>
      </c>
      <c r="L39" s="13" t="s">
        <v>89</v>
      </c>
      <c r="M39" s="12"/>
    </row>
    <row r="40" customFormat="false" ht="15" hidden="false" customHeight="true" outlineLevel="0" collapsed="false">
      <c r="A40" s="9" t="s">
        <v>257</v>
      </c>
      <c r="B40" s="10" t="s">
        <v>258</v>
      </c>
      <c r="C40" s="11" t="s">
        <v>92</v>
      </c>
      <c r="D40" s="11" t="s">
        <v>68</v>
      </c>
      <c r="E40" s="12" t="s">
        <v>259</v>
      </c>
      <c r="F40" s="13" t="n">
        <f aca="false">LEN(E40)-LEN(SUBSTITUTE(E40,",",""))+1</f>
        <v>4</v>
      </c>
      <c r="G40" s="12" t="s">
        <v>260</v>
      </c>
      <c r="H40" s="13" t="s">
        <v>144</v>
      </c>
      <c r="I40" s="12" t="s">
        <v>246</v>
      </c>
      <c r="J40" s="13" t="n">
        <v>0</v>
      </c>
      <c r="K40" s="14" t="n">
        <v>0.75</v>
      </c>
      <c r="L40" s="13" t="s">
        <v>89</v>
      </c>
      <c r="M40" s="12"/>
    </row>
    <row r="41" customFormat="false" ht="15" hidden="false" customHeight="true" outlineLevel="0" collapsed="false">
      <c r="A41" s="9" t="s">
        <v>261</v>
      </c>
      <c r="B41" s="10" t="s">
        <v>262</v>
      </c>
      <c r="C41" s="11" t="s">
        <v>92</v>
      </c>
      <c r="D41" s="11" t="s">
        <v>68</v>
      </c>
      <c r="E41" s="12" t="s">
        <v>263</v>
      </c>
      <c r="F41" s="13" t="n">
        <f aca="false">LEN(E41)-LEN(SUBSTITUTE(E41,",",""))+1</f>
        <v>1</v>
      </c>
      <c r="G41" s="12" t="s">
        <v>264</v>
      </c>
      <c r="H41" s="13" t="s">
        <v>95</v>
      </c>
      <c r="I41" s="12" t="s">
        <v>265</v>
      </c>
      <c r="J41" s="13" t="n">
        <v>1</v>
      </c>
      <c r="K41" s="14" t="n">
        <v>1</v>
      </c>
      <c r="L41" s="13" t="s">
        <v>89</v>
      </c>
      <c r="M41" s="12"/>
    </row>
    <row r="42" customFormat="false" ht="21.75" hidden="false" customHeight="true" outlineLevel="0" collapsed="false">
      <c r="A42" s="9" t="s">
        <v>266</v>
      </c>
      <c r="B42" s="10" t="s">
        <v>267</v>
      </c>
      <c r="C42" s="11" t="s">
        <v>92</v>
      </c>
      <c r="D42" s="11" t="s">
        <v>68</v>
      </c>
      <c r="E42" s="12" t="s">
        <v>268</v>
      </c>
      <c r="F42" s="13" t="n">
        <f aca="false">LEN(E42)-LEN(SUBSTITUTE(E42,",",""))+1</f>
        <v>4</v>
      </c>
      <c r="G42" s="12" t="s">
        <v>269</v>
      </c>
      <c r="H42" s="13" t="s">
        <v>128</v>
      </c>
      <c r="I42" s="12" t="s">
        <v>256</v>
      </c>
      <c r="J42" s="13" t="n">
        <v>0</v>
      </c>
      <c r="K42" s="14" t="n">
        <v>0.5</v>
      </c>
      <c r="L42" s="13" t="s">
        <v>89</v>
      </c>
      <c r="M42" s="12" t="s">
        <v>270</v>
      </c>
    </row>
    <row r="43" customFormat="false" ht="15" hidden="false" customHeight="true" outlineLevel="0" collapsed="false">
      <c r="A43" s="9" t="s">
        <v>271</v>
      </c>
      <c r="B43" s="10" t="s">
        <v>272</v>
      </c>
      <c r="C43" s="11" t="s">
        <v>92</v>
      </c>
      <c r="D43" s="11" t="s">
        <v>68</v>
      </c>
      <c r="E43" s="12" t="s">
        <v>273</v>
      </c>
      <c r="F43" s="13" t="n">
        <f aca="false">LEN(E43)-LEN(SUBSTITUTE(E43,",",""))+1</f>
        <v>2</v>
      </c>
      <c r="G43" s="12" t="s">
        <v>274</v>
      </c>
      <c r="H43" s="13" t="s">
        <v>128</v>
      </c>
      <c r="I43" s="12" t="s">
        <v>256</v>
      </c>
      <c r="J43" s="13" t="n">
        <v>1</v>
      </c>
      <c r="K43" s="14" t="n">
        <v>0.5</v>
      </c>
      <c r="L43" s="13" t="s">
        <v>89</v>
      </c>
      <c r="M43" s="12"/>
    </row>
    <row r="44" customFormat="false" ht="21.75" hidden="false" customHeight="true" outlineLevel="0" collapsed="false">
      <c r="A44" s="9" t="s">
        <v>275</v>
      </c>
      <c r="B44" s="10" t="s">
        <v>276</v>
      </c>
      <c r="C44" s="11" t="s">
        <v>277</v>
      </c>
      <c r="D44" s="11" t="s">
        <v>68</v>
      </c>
      <c r="E44" s="12" t="s">
        <v>278</v>
      </c>
      <c r="F44" s="13" t="n">
        <f aca="false">LEN(E44)-LEN(SUBSTITUTE(E44,",",""))+1</f>
        <v>5</v>
      </c>
      <c r="G44" s="12" t="s">
        <v>279</v>
      </c>
      <c r="H44" s="13" t="s">
        <v>280</v>
      </c>
      <c r="I44" s="12" t="s">
        <v>281</v>
      </c>
      <c r="J44" s="13" t="n">
        <v>0</v>
      </c>
      <c r="K44" s="14" t="n">
        <v>1.5</v>
      </c>
      <c r="L44" s="13" t="s">
        <v>73</v>
      </c>
      <c r="M44" s="12" t="s">
        <v>282</v>
      </c>
    </row>
    <row r="45" customFormat="false" ht="21.75" hidden="false" customHeight="true" outlineLevel="0" collapsed="false">
      <c r="A45" s="9" t="s">
        <v>283</v>
      </c>
      <c r="B45" s="10" t="s">
        <v>284</v>
      </c>
      <c r="C45" s="11" t="s">
        <v>277</v>
      </c>
      <c r="D45" s="11" t="s">
        <v>68</v>
      </c>
      <c r="E45" s="12" t="s">
        <v>285</v>
      </c>
      <c r="F45" s="13" t="n">
        <f aca="false">LEN(E45)-LEN(SUBSTITUTE(E45,",",""))+1</f>
        <v>2</v>
      </c>
      <c r="G45" s="12" t="s">
        <v>286</v>
      </c>
      <c r="H45" s="13" t="s">
        <v>102</v>
      </c>
      <c r="I45" s="12" t="s">
        <v>287</v>
      </c>
      <c r="J45" s="13" t="n">
        <v>0</v>
      </c>
      <c r="K45" s="14" t="n">
        <v>1.5</v>
      </c>
      <c r="L45" s="13" t="s">
        <v>73</v>
      </c>
      <c r="M45" s="12" t="s">
        <v>288</v>
      </c>
    </row>
    <row r="46" customFormat="false" ht="21.75" hidden="false" customHeight="true" outlineLevel="0" collapsed="false">
      <c r="A46" s="9" t="s">
        <v>289</v>
      </c>
      <c r="B46" s="10" t="s">
        <v>290</v>
      </c>
      <c r="C46" s="11" t="s">
        <v>277</v>
      </c>
      <c r="D46" s="11" t="s">
        <v>68</v>
      </c>
      <c r="E46" s="12" t="s">
        <v>291</v>
      </c>
      <c r="F46" s="13" t="n">
        <f aca="false">LEN(E46)-LEN(SUBSTITUTE(E46,",",""))+1</f>
        <v>1</v>
      </c>
      <c r="G46" s="12" t="s">
        <v>292</v>
      </c>
      <c r="H46" s="13" t="s">
        <v>109</v>
      </c>
      <c r="I46" s="12" t="s">
        <v>293</v>
      </c>
      <c r="J46" s="13" t="n">
        <v>0</v>
      </c>
      <c r="K46" s="14" t="n">
        <v>1.5</v>
      </c>
      <c r="L46" s="13" t="s">
        <v>73</v>
      </c>
      <c r="M46" s="12"/>
    </row>
    <row r="47" customFormat="false" ht="15" hidden="false" customHeight="true" outlineLevel="0" collapsed="false">
      <c r="A47" s="9" t="s">
        <v>294</v>
      </c>
      <c r="B47" s="10" t="s">
        <v>295</v>
      </c>
      <c r="C47" s="11" t="s">
        <v>277</v>
      </c>
      <c r="D47" s="11" t="s">
        <v>68</v>
      </c>
      <c r="E47" s="12" t="s">
        <v>296</v>
      </c>
      <c r="F47" s="13" t="n">
        <f aca="false">LEN(E47)-LEN(SUBSTITUTE(E47,",",""))+1</f>
        <v>1</v>
      </c>
      <c r="G47" s="12" t="s">
        <v>297</v>
      </c>
      <c r="H47" s="13" t="s">
        <v>161</v>
      </c>
      <c r="I47" s="12" t="s">
        <v>298</v>
      </c>
      <c r="J47" s="13" t="n">
        <v>0</v>
      </c>
      <c r="K47" s="14" t="n">
        <v>0.75</v>
      </c>
      <c r="L47" s="13" t="s">
        <v>89</v>
      </c>
      <c r="M47" s="12"/>
    </row>
    <row r="48" customFormat="false" ht="15" hidden="false" customHeight="true" outlineLevel="0" collapsed="false">
      <c r="A48" s="9" t="s">
        <v>299</v>
      </c>
      <c r="B48" s="10" t="s">
        <v>300</v>
      </c>
      <c r="C48" s="11" t="s">
        <v>277</v>
      </c>
      <c r="D48" s="11" t="s">
        <v>68</v>
      </c>
      <c r="E48" s="12" t="s">
        <v>301</v>
      </c>
      <c r="F48" s="13" t="n">
        <f aca="false">LEN(E48)-LEN(SUBSTITUTE(E48,",",""))+1</f>
        <v>1</v>
      </c>
      <c r="G48" s="12" t="s">
        <v>302</v>
      </c>
      <c r="H48" s="13" t="s">
        <v>128</v>
      </c>
      <c r="I48" s="12" t="s">
        <v>303</v>
      </c>
      <c r="J48" s="13" t="n">
        <v>1</v>
      </c>
      <c r="K48" s="14" t="n">
        <v>0.5</v>
      </c>
      <c r="L48" s="13" t="s">
        <v>89</v>
      </c>
      <c r="M48" s="12" t="s">
        <v>304</v>
      </c>
    </row>
    <row r="49" customFormat="false" ht="21.75" hidden="false" customHeight="true" outlineLevel="0" collapsed="false">
      <c r="A49" s="9" t="s">
        <v>305</v>
      </c>
      <c r="B49" s="10" t="s">
        <v>306</v>
      </c>
      <c r="C49" s="11" t="s">
        <v>277</v>
      </c>
      <c r="D49" s="11" t="s">
        <v>68</v>
      </c>
      <c r="E49" s="12" t="s">
        <v>278</v>
      </c>
      <c r="F49" s="13" t="n">
        <f aca="false">LEN(E49)-LEN(SUBSTITUTE(E49,",",""))+1</f>
        <v>5</v>
      </c>
      <c r="G49" s="12" t="s">
        <v>307</v>
      </c>
      <c r="H49" s="13" t="s">
        <v>308</v>
      </c>
      <c r="I49" s="12" t="s">
        <v>309</v>
      </c>
      <c r="J49" s="13" t="n">
        <v>5</v>
      </c>
      <c r="K49" s="14" t="n">
        <v>3</v>
      </c>
      <c r="L49" s="15" t="s">
        <v>81</v>
      </c>
      <c r="M49" s="12" t="s">
        <v>310</v>
      </c>
    </row>
    <row r="50" customFormat="false" ht="21.75" hidden="false" customHeight="true" outlineLevel="0" collapsed="false">
      <c r="A50" s="9" t="s">
        <v>311</v>
      </c>
      <c r="B50" s="10" t="s">
        <v>312</v>
      </c>
      <c r="C50" s="11" t="s">
        <v>277</v>
      </c>
      <c r="D50" s="11" t="s">
        <v>68</v>
      </c>
      <c r="E50" s="12" t="s">
        <v>278</v>
      </c>
      <c r="F50" s="13" t="n">
        <f aca="false">LEN(E50)-LEN(SUBSTITUTE(E50,",",""))+1</f>
        <v>5</v>
      </c>
      <c r="G50" s="12" t="s">
        <v>313</v>
      </c>
      <c r="H50" s="13" t="s">
        <v>308</v>
      </c>
      <c r="I50" s="12" t="s">
        <v>314</v>
      </c>
      <c r="J50" s="13" t="n">
        <v>2</v>
      </c>
      <c r="K50" s="14" t="n">
        <v>2</v>
      </c>
      <c r="L50" s="13" t="s">
        <v>73</v>
      </c>
      <c r="M50" s="12" t="s">
        <v>315</v>
      </c>
    </row>
    <row r="51" customFormat="false" ht="15" hidden="false" customHeight="true" outlineLevel="0" collapsed="false">
      <c r="A51" s="9" t="s">
        <v>316</v>
      </c>
      <c r="B51" s="10" t="s">
        <v>317</v>
      </c>
      <c r="C51" s="11" t="s">
        <v>277</v>
      </c>
      <c r="D51" s="11" t="s">
        <v>68</v>
      </c>
      <c r="E51" s="12" t="s">
        <v>318</v>
      </c>
      <c r="F51" s="13" t="n">
        <f aca="false">LEN(E51)-LEN(SUBSTITUTE(E51,",",""))+1</f>
        <v>2</v>
      </c>
      <c r="G51" s="12" t="s">
        <v>319</v>
      </c>
      <c r="H51" s="13" t="s">
        <v>308</v>
      </c>
      <c r="I51" s="12" t="s">
        <v>320</v>
      </c>
      <c r="J51" s="13" t="n">
        <v>1</v>
      </c>
      <c r="K51" s="14" t="n">
        <v>1</v>
      </c>
      <c r="L51" s="13" t="s">
        <v>89</v>
      </c>
      <c r="M51" s="12"/>
    </row>
    <row r="52" customFormat="false" ht="15" hidden="false" customHeight="true" outlineLevel="0" collapsed="false">
      <c r="A52" s="9" t="s">
        <v>321</v>
      </c>
      <c r="B52" s="10" t="s">
        <v>322</v>
      </c>
      <c r="C52" s="11" t="s">
        <v>277</v>
      </c>
      <c r="D52" s="11" t="s">
        <v>68</v>
      </c>
      <c r="E52" s="12" t="s">
        <v>323</v>
      </c>
      <c r="F52" s="13" t="n">
        <f aca="false">LEN(E52)-LEN(SUBSTITUTE(E52,",",""))+1</f>
        <v>3</v>
      </c>
      <c r="G52" s="12" t="s">
        <v>324</v>
      </c>
      <c r="H52" s="13" t="s">
        <v>308</v>
      </c>
      <c r="I52" s="12" t="s">
        <v>314</v>
      </c>
      <c r="J52" s="13" t="n">
        <v>1</v>
      </c>
      <c r="K52" s="14" t="n">
        <v>1</v>
      </c>
      <c r="L52" s="13" t="s">
        <v>89</v>
      </c>
      <c r="M52" s="12"/>
    </row>
    <row r="53" customFormat="false" ht="15" hidden="false" customHeight="true" outlineLevel="0" collapsed="false">
      <c r="A53" s="9" t="s">
        <v>325</v>
      </c>
      <c r="B53" s="10" t="s">
        <v>326</v>
      </c>
      <c r="C53" s="11" t="s">
        <v>67</v>
      </c>
      <c r="D53" s="11" t="s">
        <v>68</v>
      </c>
      <c r="E53" s="12" t="s">
        <v>327</v>
      </c>
      <c r="F53" s="13" t="n">
        <f aca="false">LEN(E53)-LEN(SUBSTITUTE(E53,",",""))+1</f>
        <v>1</v>
      </c>
      <c r="G53" s="12" t="s">
        <v>328</v>
      </c>
      <c r="H53" s="13" t="s">
        <v>308</v>
      </c>
      <c r="I53" s="12" t="s">
        <v>308</v>
      </c>
      <c r="J53" s="13" t="n">
        <v>1</v>
      </c>
      <c r="K53" s="14" t="n">
        <v>1</v>
      </c>
      <c r="L53" s="13" t="s">
        <v>89</v>
      </c>
      <c r="M53" s="12"/>
    </row>
    <row r="54" customFormat="false" ht="21.75" hidden="false" customHeight="true" outlineLevel="0" collapsed="false">
      <c r="A54" s="9" t="s">
        <v>329</v>
      </c>
      <c r="B54" s="10" t="s">
        <v>330</v>
      </c>
      <c r="C54" s="11" t="s">
        <v>67</v>
      </c>
      <c r="D54" s="11" t="s">
        <v>68</v>
      </c>
      <c r="E54" s="12" t="s">
        <v>327</v>
      </c>
      <c r="F54" s="13" t="n">
        <f aca="false">LEN(E54)-LEN(SUBSTITUTE(E54,",",""))+1</f>
        <v>1</v>
      </c>
      <c r="G54" s="12" t="s">
        <v>331</v>
      </c>
      <c r="H54" s="13" t="s">
        <v>308</v>
      </c>
      <c r="I54" s="12" t="s">
        <v>308</v>
      </c>
      <c r="J54" s="13" t="n">
        <v>1</v>
      </c>
      <c r="K54" s="14" t="n">
        <v>1.5</v>
      </c>
      <c r="L54" s="13" t="s">
        <v>73</v>
      </c>
      <c r="M54" s="12" t="s">
        <v>332</v>
      </c>
    </row>
    <row r="55" customFormat="false" ht="21.75" hidden="false" customHeight="true" outlineLevel="0" collapsed="false">
      <c r="A55" s="9" t="s">
        <v>333</v>
      </c>
      <c r="B55" s="10" t="s">
        <v>334</v>
      </c>
      <c r="C55" s="11" t="s">
        <v>67</v>
      </c>
      <c r="D55" s="11" t="s">
        <v>68</v>
      </c>
      <c r="E55" s="12" t="s">
        <v>335</v>
      </c>
      <c r="F55" s="13" t="n">
        <f aca="false">LEN(E55)-LEN(SUBSTITUTE(E55,",",""))+1</f>
        <v>1</v>
      </c>
      <c r="G55" s="12" t="s">
        <v>336</v>
      </c>
      <c r="H55" s="13" t="s">
        <v>308</v>
      </c>
      <c r="I55" s="12" t="s">
        <v>308</v>
      </c>
      <c r="J55" s="13" t="n">
        <v>1</v>
      </c>
      <c r="K55" s="14" t="n">
        <v>1</v>
      </c>
      <c r="L55" s="13" t="s">
        <v>89</v>
      </c>
      <c r="M55" s="12"/>
    </row>
    <row r="56" customFormat="false" ht="15" hidden="false" customHeight="true" outlineLevel="0" collapsed="false">
      <c r="A56" s="9" t="s">
        <v>337</v>
      </c>
      <c r="B56" s="10" t="s">
        <v>338</v>
      </c>
      <c r="C56" s="11" t="s">
        <v>67</v>
      </c>
      <c r="D56" s="11" t="s">
        <v>68</v>
      </c>
      <c r="E56" s="12" t="s">
        <v>85</v>
      </c>
      <c r="F56" s="13" t="n">
        <f aca="false">LEN(E56)-LEN(SUBSTITUTE(E56,",",""))+1</f>
        <v>2</v>
      </c>
      <c r="G56" s="12" t="s">
        <v>339</v>
      </c>
      <c r="H56" s="13" t="s">
        <v>308</v>
      </c>
      <c r="I56" s="12" t="s">
        <v>308</v>
      </c>
      <c r="J56" s="13" t="n">
        <v>1</v>
      </c>
      <c r="K56" s="14" t="n">
        <v>0.75</v>
      </c>
      <c r="L56" s="13" t="s">
        <v>89</v>
      </c>
      <c r="M56" s="12"/>
    </row>
    <row r="57" customFormat="false" ht="15" hidden="false" customHeight="true" outlineLevel="0" collapsed="false">
      <c r="A57" s="9" t="s">
        <v>340</v>
      </c>
      <c r="B57" s="10" t="s">
        <v>341</v>
      </c>
      <c r="C57" s="11" t="s">
        <v>67</v>
      </c>
      <c r="D57" s="11" t="s">
        <v>68</v>
      </c>
      <c r="E57" s="12" t="s">
        <v>342</v>
      </c>
      <c r="F57" s="13" t="n">
        <f aca="false">LEN(E57)-LEN(SUBSTITUTE(E57,",",""))+1</f>
        <v>1</v>
      </c>
      <c r="G57" s="12" t="s">
        <v>343</v>
      </c>
      <c r="H57" s="13" t="s">
        <v>308</v>
      </c>
      <c r="I57" s="12" t="s">
        <v>308</v>
      </c>
      <c r="J57" s="13" t="n">
        <v>1</v>
      </c>
      <c r="K57" s="14" t="n">
        <v>0.5</v>
      </c>
      <c r="L57" s="13" t="s">
        <v>89</v>
      </c>
      <c r="M57" s="12"/>
    </row>
    <row r="58" customFormat="false" ht="15" hidden="false" customHeight="true" outlineLevel="0" collapsed="false">
      <c r="A58" s="9" t="s">
        <v>344</v>
      </c>
      <c r="B58" s="10" t="s">
        <v>345</v>
      </c>
      <c r="C58" s="11" t="s">
        <v>67</v>
      </c>
      <c r="D58" s="11" t="s">
        <v>68</v>
      </c>
      <c r="E58" s="12" t="s">
        <v>159</v>
      </c>
      <c r="F58" s="13" t="n">
        <f aca="false">LEN(E58)-LEN(SUBSTITUTE(E58,",",""))+1</f>
        <v>3</v>
      </c>
      <c r="G58" s="12" t="s">
        <v>346</v>
      </c>
      <c r="H58" s="13" t="s">
        <v>308</v>
      </c>
      <c r="I58" s="12" t="s">
        <v>308</v>
      </c>
      <c r="J58" s="13" t="n">
        <v>2</v>
      </c>
      <c r="K58" s="14" t="n">
        <v>1</v>
      </c>
      <c r="L58" s="13" t="s">
        <v>89</v>
      </c>
      <c r="M58" s="12"/>
    </row>
    <row r="59" customFormat="false" ht="15" hidden="false" customHeight="true" outlineLevel="0" collapsed="false">
      <c r="A59" s="9" t="s">
        <v>347</v>
      </c>
      <c r="B59" s="10" t="s">
        <v>348</v>
      </c>
      <c r="C59" s="11" t="s">
        <v>277</v>
      </c>
      <c r="D59" s="11" t="s">
        <v>68</v>
      </c>
      <c r="E59" s="12" t="s">
        <v>349</v>
      </c>
      <c r="F59" s="13" t="n">
        <f aca="false">LEN(E59)-LEN(SUBSTITUTE(E59,",",""))+1</f>
        <v>1</v>
      </c>
      <c r="G59" s="12" t="s">
        <v>350</v>
      </c>
      <c r="H59" s="13" t="s">
        <v>308</v>
      </c>
      <c r="I59" s="12" t="s">
        <v>308</v>
      </c>
      <c r="J59" s="13" t="n">
        <v>1</v>
      </c>
      <c r="K59" s="14" t="n">
        <v>1.5</v>
      </c>
      <c r="L59" s="13" t="s">
        <v>73</v>
      </c>
      <c r="M59" s="12"/>
    </row>
    <row r="60" customFormat="false" ht="15" hidden="false" customHeight="true" outlineLevel="0" collapsed="false">
      <c r="A60" s="9" t="s">
        <v>351</v>
      </c>
      <c r="B60" s="10" t="s">
        <v>352</v>
      </c>
      <c r="C60" s="11" t="s">
        <v>277</v>
      </c>
      <c r="D60" s="11" t="s">
        <v>68</v>
      </c>
      <c r="E60" s="12" t="s">
        <v>349</v>
      </c>
      <c r="F60" s="13" t="n">
        <f aca="false">LEN(E60)-LEN(SUBSTITUTE(E60,",",""))+1</f>
        <v>1</v>
      </c>
      <c r="G60" s="12" t="s">
        <v>353</v>
      </c>
      <c r="H60" s="13" t="s">
        <v>308</v>
      </c>
      <c r="I60" s="12" t="s">
        <v>308</v>
      </c>
      <c r="J60" s="13" t="n">
        <v>1</v>
      </c>
      <c r="K60" s="14" t="n">
        <v>1.5</v>
      </c>
      <c r="L60" s="13" t="s">
        <v>73</v>
      </c>
      <c r="M60" s="12"/>
    </row>
    <row r="61" customFormat="false" ht="15" hidden="false" customHeight="true" outlineLevel="0" collapsed="false">
      <c r="A61" s="9" t="s">
        <v>354</v>
      </c>
      <c r="B61" s="10" t="s">
        <v>355</v>
      </c>
      <c r="C61" s="11" t="s">
        <v>277</v>
      </c>
      <c r="D61" s="11" t="s">
        <v>68</v>
      </c>
      <c r="E61" s="12" t="s">
        <v>291</v>
      </c>
      <c r="F61" s="13" t="n">
        <f aca="false">LEN(E61)-LEN(SUBSTITUTE(E61,",",""))+1</f>
        <v>1</v>
      </c>
      <c r="G61" s="12" t="s">
        <v>356</v>
      </c>
      <c r="H61" s="13" t="s">
        <v>308</v>
      </c>
      <c r="I61" s="12" t="s">
        <v>308</v>
      </c>
      <c r="J61" s="13" t="n">
        <v>1</v>
      </c>
      <c r="K61" s="14" t="n">
        <v>1.5</v>
      </c>
      <c r="L61" s="15" t="s">
        <v>81</v>
      </c>
      <c r="M61" s="12" t="s">
        <v>357</v>
      </c>
    </row>
    <row r="62" customFormat="false" ht="15" hidden="false" customHeight="true" outlineLevel="0" collapsed="false">
      <c r="A62" s="9" t="s">
        <v>358</v>
      </c>
      <c r="B62" s="10" t="s">
        <v>359</v>
      </c>
      <c r="C62" s="11" t="s">
        <v>277</v>
      </c>
      <c r="D62" s="11" t="s">
        <v>68</v>
      </c>
      <c r="E62" s="12" t="s">
        <v>291</v>
      </c>
      <c r="F62" s="13" t="n">
        <f aca="false">LEN(E62)-LEN(SUBSTITUTE(E62,",",""))+1</f>
        <v>1</v>
      </c>
      <c r="G62" s="12" t="s">
        <v>360</v>
      </c>
      <c r="H62" s="13" t="s">
        <v>308</v>
      </c>
      <c r="I62" s="12" t="s">
        <v>308</v>
      </c>
      <c r="J62" s="13" t="n">
        <v>1</v>
      </c>
      <c r="K62" s="14" t="n">
        <v>1.5</v>
      </c>
      <c r="L62" s="13" t="s">
        <v>73</v>
      </c>
      <c r="M62" s="12"/>
    </row>
    <row r="63" customFormat="false" ht="15" hidden="false" customHeight="true" outlineLevel="0" collapsed="false">
      <c r="A63" s="9" t="s">
        <v>361</v>
      </c>
      <c r="B63" s="10" t="s">
        <v>362</v>
      </c>
      <c r="C63" s="11" t="s">
        <v>277</v>
      </c>
      <c r="D63" s="11" t="s">
        <v>68</v>
      </c>
      <c r="E63" s="12" t="s">
        <v>363</v>
      </c>
      <c r="F63" s="13" t="n">
        <f aca="false">LEN(E63)-LEN(SUBSTITUTE(E63,",",""))+1</f>
        <v>1</v>
      </c>
      <c r="G63" s="12" t="s">
        <v>364</v>
      </c>
      <c r="H63" s="13" t="s">
        <v>308</v>
      </c>
      <c r="I63" s="12" t="s">
        <v>308</v>
      </c>
      <c r="J63" s="13" t="n">
        <v>1</v>
      </c>
      <c r="K63" s="14" t="n">
        <v>1</v>
      </c>
      <c r="L63" s="13" t="s">
        <v>73</v>
      </c>
      <c r="M63" s="12"/>
    </row>
    <row r="64" customFormat="false" ht="15" hidden="false" customHeight="true" outlineLevel="0" collapsed="false">
      <c r="A64" s="9" t="s">
        <v>365</v>
      </c>
      <c r="B64" s="10" t="s">
        <v>366</v>
      </c>
      <c r="C64" s="11" t="s">
        <v>277</v>
      </c>
      <c r="D64" s="11" t="s">
        <v>68</v>
      </c>
      <c r="E64" s="12" t="s">
        <v>367</v>
      </c>
      <c r="F64" s="13" t="n">
        <f aca="false">LEN(E64)-LEN(SUBSTITUTE(E64,",",""))+1</f>
        <v>1</v>
      </c>
      <c r="G64" s="12" t="s">
        <v>368</v>
      </c>
      <c r="H64" s="13" t="s">
        <v>308</v>
      </c>
      <c r="I64" s="12" t="s">
        <v>308</v>
      </c>
      <c r="J64" s="13" t="n">
        <v>1</v>
      </c>
      <c r="K64" s="14" t="n">
        <v>1.5</v>
      </c>
      <c r="L64" s="15" t="s">
        <v>81</v>
      </c>
      <c r="M64" s="12"/>
    </row>
    <row r="65" customFormat="false" ht="15" hidden="false" customHeight="true" outlineLevel="0" collapsed="false">
      <c r="A65" s="9" t="s">
        <v>369</v>
      </c>
      <c r="B65" s="10" t="s">
        <v>370</v>
      </c>
      <c r="C65" s="11" t="s">
        <v>277</v>
      </c>
      <c r="D65" s="11" t="s">
        <v>68</v>
      </c>
      <c r="E65" s="12" t="s">
        <v>296</v>
      </c>
      <c r="F65" s="13" t="n">
        <f aca="false">LEN(E65)-LEN(SUBSTITUTE(E65,",",""))+1</f>
        <v>1</v>
      </c>
      <c r="G65" s="12" t="s">
        <v>371</v>
      </c>
      <c r="H65" s="13" t="s">
        <v>308</v>
      </c>
      <c r="I65" s="12" t="s">
        <v>308</v>
      </c>
      <c r="J65" s="13" t="n">
        <v>1</v>
      </c>
      <c r="K65" s="14" t="n">
        <v>1.25</v>
      </c>
      <c r="L65" s="13" t="s">
        <v>73</v>
      </c>
      <c r="M65" s="12"/>
    </row>
    <row r="66" customFormat="false" ht="15" hidden="false" customHeight="true" outlineLevel="0" collapsed="false">
      <c r="A66" s="9" t="s">
        <v>372</v>
      </c>
      <c r="B66" s="10" t="s">
        <v>373</v>
      </c>
      <c r="C66" s="11" t="s">
        <v>277</v>
      </c>
      <c r="D66" s="11" t="s">
        <v>68</v>
      </c>
      <c r="E66" s="12" t="s">
        <v>301</v>
      </c>
      <c r="F66" s="13" t="n">
        <f aca="false">LEN(E66)-LEN(SUBSTITUTE(E66,",",""))+1</f>
        <v>1</v>
      </c>
      <c r="G66" s="12" t="s">
        <v>374</v>
      </c>
      <c r="H66" s="13" t="s">
        <v>308</v>
      </c>
      <c r="I66" s="12" t="s">
        <v>308</v>
      </c>
      <c r="J66" s="13" t="n">
        <v>1</v>
      </c>
      <c r="K66" s="14" t="n">
        <v>0.75</v>
      </c>
      <c r="L66" s="13" t="s">
        <v>89</v>
      </c>
      <c r="M66" s="12"/>
    </row>
    <row r="67" customFormat="false" ht="15" hidden="false" customHeight="true" outlineLevel="0" collapsed="false">
      <c r="A67" s="9" t="s">
        <v>375</v>
      </c>
      <c r="B67" s="10" t="s">
        <v>376</v>
      </c>
      <c r="C67" s="11" t="s">
        <v>92</v>
      </c>
      <c r="D67" s="11" t="s">
        <v>68</v>
      </c>
      <c r="E67" s="12" t="s">
        <v>377</v>
      </c>
      <c r="F67" s="13" t="n">
        <f aca="false">LEN(E67)-LEN(SUBSTITUTE(E67,",",""))+1</f>
        <v>2</v>
      </c>
      <c r="G67" s="12" t="s">
        <v>378</v>
      </c>
      <c r="H67" s="13" t="s">
        <v>308</v>
      </c>
      <c r="I67" s="12" t="s">
        <v>308</v>
      </c>
      <c r="J67" s="13" t="n">
        <v>2</v>
      </c>
      <c r="K67" s="14" t="n">
        <v>1</v>
      </c>
      <c r="L67" s="13" t="s">
        <v>73</v>
      </c>
      <c r="M67" s="12"/>
    </row>
    <row r="68" customFormat="false" ht="15" hidden="false" customHeight="true" outlineLevel="0" collapsed="false">
      <c r="A68" s="9" t="s">
        <v>379</v>
      </c>
      <c r="B68" s="10" t="s">
        <v>380</v>
      </c>
      <c r="C68" s="11" t="s">
        <v>277</v>
      </c>
      <c r="D68" s="11" t="s">
        <v>68</v>
      </c>
      <c r="E68" s="12" t="s">
        <v>93</v>
      </c>
      <c r="F68" s="13" t="n">
        <f aca="false">LEN(E68)-LEN(SUBSTITUTE(E68,",",""))+1</f>
        <v>1</v>
      </c>
      <c r="G68" s="12" t="s">
        <v>381</v>
      </c>
      <c r="H68" s="13" t="s">
        <v>308</v>
      </c>
      <c r="I68" s="12" t="s">
        <v>308</v>
      </c>
      <c r="J68" s="13" t="n">
        <v>1</v>
      </c>
      <c r="K68" s="14" t="n">
        <v>1.5</v>
      </c>
      <c r="L68" s="13" t="s">
        <v>73</v>
      </c>
      <c r="M68" s="12"/>
    </row>
    <row r="69" customFormat="false" ht="21.75" hidden="false" customHeight="true" outlineLevel="0" collapsed="false">
      <c r="A69" s="9" t="s">
        <v>382</v>
      </c>
      <c r="B69" s="10" t="s">
        <v>383</v>
      </c>
      <c r="C69" s="11" t="s">
        <v>92</v>
      </c>
      <c r="D69" s="11" t="s">
        <v>68</v>
      </c>
      <c r="E69" s="12" t="s">
        <v>384</v>
      </c>
      <c r="F69" s="13" t="n">
        <f aca="false">LEN(E69)-LEN(SUBSTITUTE(E69,",",""))+1</f>
        <v>5</v>
      </c>
      <c r="G69" s="12" t="s">
        <v>385</v>
      </c>
      <c r="H69" s="13" t="s">
        <v>308</v>
      </c>
      <c r="I69" s="12" t="s">
        <v>308</v>
      </c>
      <c r="J69" s="13" t="n">
        <v>1</v>
      </c>
      <c r="K69" s="14" t="n">
        <v>0.5</v>
      </c>
      <c r="L69" s="13" t="s">
        <v>89</v>
      </c>
      <c r="M69" s="12" t="s">
        <v>386</v>
      </c>
    </row>
    <row r="70" customFormat="false" ht="21.75" hidden="false" customHeight="true" outlineLevel="0" collapsed="false">
      <c r="A70" s="16" t="s">
        <v>387</v>
      </c>
      <c r="B70" s="17" t="s">
        <v>388</v>
      </c>
      <c r="C70" s="18" t="s">
        <v>67</v>
      </c>
      <c r="D70" s="18" t="s">
        <v>389</v>
      </c>
      <c r="E70" s="12" t="s">
        <v>126</v>
      </c>
      <c r="F70" s="13" t="n">
        <f aca="false">LEN(E70)-LEN(SUBSTITUTE(E70,",",""))+1</f>
        <v>1</v>
      </c>
      <c r="G70" s="12" t="s">
        <v>390</v>
      </c>
      <c r="H70" s="13" t="s">
        <v>308</v>
      </c>
      <c r="I70" s="12" t="s">
        <v>391</v>
      </c>
      <c r="J70" s="13" t="n">
        <v>0</v>
      </c>
      <c r="K70" s="14" t="n">
        <v>0.5</v>
      </c>
      <c r="L70" s="13" t="s">
        <v>89</v>
      </c>
      <c r="M70" s="12" t="s">
        <v>392</v>
      </c>
    </row>
    <row r="71" customFormat="false" ht="21.75" hidden="false" customHeight="true" outlineLevel="0" collapsed="false">
      <c r="A71" s="16" t="s">
        <v>393</v>
      </c>
      <c r="B71" s="17" t="s">
        <v>394</v>
      </c>
      <c r="C71" s="18" t="s">
        <v>67</v>
      </c>
      <c r="D71" s="18" t="s">
        <v>389</v>
      </c>
      <c r="E71" s="12" t="s">
        <v>395</v>
      </c>
      <c r="F71" s="13" t="n">
        <f aca="false">LEN(E71)-LEN(SUBSTITUTE(E71,",",""))+1</f>
        <v>2</v>
      </c>
      <c r="G71" s="12" t="s">
        <v>396</v>
      </c>
      <c r="H71" s="13" t="s">
        <v>308</v>
      </c>
      <c r="I71" s="12" t="s">
        <v>397</v>
      </c>
      <c r="J71" s="13" t="n">
        <v>0</v>
      </c>
      <c r="K71" s="14" t="n">
        <v>0.25</v>
      </c>
      <c r="L71" s="13" t="s">
        <v>89</v>
      </c>
      <c r="M71" s="12"/>
    </row>
    <row r="72" customFormat="false" ht="21.75" hidden="false" customHeight="true" outlineLevel="0" collapsed="false">
      <c r="A72" s="16" t="s">
        <v>398</v>
      </c>
      <c r="B72" s="17" t="s">
        <v>399</v>
      </c>
      <c r="C72" s="18" t="s">
        <v>67</v>
      </c>
      <c r="D72" s="18" t="s">
        <v>389</v>
      </c>
      <c r="E72" s="12" t="s">
        <v>327</v>
      </c>
      <c r="F72" s="13" t="n">
        <f aca="false">LEN(E72)-LEN(SUBSTITUTE(E72,",",""))+1</f>
        <v>1</v>
      </c>
      <c r="G72" s="12" t="s">
        <v>400</v>
      </c>
      <c r="H72" s="13" t="s">
        <v>308</v>
      </c>
      <c r="I72" s="12" t="s">
        <v>401</v>
      </c>
      <c r="J72" s="13" t="n">
        <v>0</v>
      </c>
      <c r="K72" s="14" t="n">
        <v>0.5</v>
      </c>
      <c r="L72" s="13" t="s">
        <v>89</v>
      </c>
      <c r="M72" s="12"/>
    </row>
    <row r="73" customFormat="false" ht="21.75" hidden="false" customHeight="true" outlineLevel="0" collapsed="false">
      <c r="A73" s="16" t="s">
        <v>402</v>
      </c>
      <c r="B73" s="17" t="s">
        <v>403</v>
      </c>
      <c r="C73" s="18" t="s">
        <v>67</v>
      </c>
      <c r="D73" s="18" t="s">
        <v>389</v>
      </c>
      <c r="E73" s="12" t="s">
        <v>327</v>
      </c>
      <c r="F73" s="13" t="n">
        <f aca="false">LEN(E73)-LEN(SUBSTITUTE(E73,",",""))+1</f>
        <v>1</v>
      </c>
      <c r="G73" s="12" t="s">
        <v>404</v>
      </c>
      <c r="H73" s="13" t="s">
        <v>308</v>
      </c>
      <c r="I73" s="12" t="s">
        <v>405</v>
      </c>
      <c r="J73" s="13" t="n">
        <v>0</v>
      </c>
      <c r="K73" s="14" t="n">
        <v>0.75</v>
      </c>
      <c r="L73" s="13" t="s">
        <v>89</v>
      </c>
      <c r="M73" s="12" t="s">
        <v>406</v>
      </c>
    </row>
    <row r="74" customFormat="false" ht="21.75" hidden="false" customHeight="true" outlineLevel="0" collapsed="false">
      <c r="A74" s="16" t="s">
        <v>407</v>
      </c>
      <c r="B74" s="17" t="s">
        <v>408</v>
      </c>
      <c r="C74" s="18" t="s">
        <v>67</v>
      </c>
      <c r="D74" s="18" t="s">
        <v>389</v>
      </c>
      <c r="E74" s="12" t="s">
        <v>327</v>
      </c>
      <c r="F74" s="13" t="n">
        <f aca="false">LEN(E74)-LEN(SUBSTITUTE(E74,",",""))+1</f>
        <v>1</v>
      </c>
      <c r="G74" s="12" t="s">
        <v>409</v>
      </c>
      <c r="H74" s="13" t="s">
        <v>308</v>
      </c>
      <c r="I74" s="12" t="s">
        <v>401</v>
      </c>
      <c r="J74" s="13" t="n">
        <v>0</v>
      </c>
      <c r="K74" s="14" t="n">
        <v>0.5</v>
      </c>
      <c r="L74" s="13" t="s">
        <v>89</v>
      </c>
      <c r="M74" s="12"/>
    </row>
    <row r="75" customFormat="false" ht="15" hidden="false" customHeight="true" outlineLevel="0" collapsed="false">
      <c r="A75" s="16" t="s">
        <v>410</v>
      </c>
      <c r="B75" s="17" t="s">
        <v>411</v>
      </c>
      <c r="C75" s="18" t="s">
        <v>67</v>
      </c>
      <c r="D75" s="18" t="s">
        <v>389</v>
      </c>
      <c r="E75" s="12" t="s">
        <v>327</v>
      </c>
      <c r="F75" s="13" t="n">
        <f aca="false">LEN(E75)-LEN(SUBSTITUTE(E75,",",""))+1</f>
        <v>1</v>
      </c>
      <c r="G75" s="12" t="s">
        <v>412</v>
      </c>
      <c r="H75" s="13" t="s">
        <v>308</v>
      </c>
      <c r="I75" s="12" t="s">
        <v>413</v>
      </c>
      <c r="J75" s="13" t="n">
        <v>0</v>
      </c>
      <c r="K75" s="14" t="n">
        <v>0.5</v>
      </c>
      <c r="L75" s="13" t="s">
        <v>89</v>
      </c>
      <c r="M75" s="12" t="s">
        <v>414</v>
      </c>
    </row>
    <row r="76" customFormat="false" ht="21.75" hidden="false" customHeight="true" outlineLevel="0" collapsed="false">
      <c r="A76" s="16" t="s">
        <v>415</v>
      </c>
      <c r="B76" s="17" t="s">
        <v>416</v>
      </c>
      <c r="C76" s="18" t="s">
        <v>67</v>
      </c>
      <c r="D76" s="18" t="s">
        <v>389</v>
      </c>
      <c r="E76" s="12" t="s">
        <v>335</v>
      </c>
      <c r="F76" s="13" t="n">
        <f aca="false">LEN(E76)-LEN(SUBSTITUTE(E76,",",""))+1</f>
        <v>1</v>
      </c>
      <c r="G76" s="12" t="s">
        <v>417</v>
      </c>
      <c r="H76" s="13" t="s">
        <v>308</v>
      </c>
      <c r="I76" s="12" t="s">
        <v>401</v>
      </c>
      <c r="J76" s="13" t="n">
        <v>0</v>
      </c>
      <c r="K76" s="14" t="n">
        <v>0.75</v>
      </c>
      <c r="L76" s="13" t="s">
        <v>89</v>
      </c>
      <c r="M76" s="12"/>
    </row>
    <row r="77" customFormat="false" ht="15" hidden="false" customHeight="true" outlineLevel="0" collapsed="false">
      <c r="A77" s="16" t="s">
        <v>418</v>
      </c>
      <c r="B77" s="17" t="s">
        <v>419</v>
      </c>
      <c r="C77" s="18" t="s">
        <v>67</v>
      </c>
      <c r="D77" s="18" t="s">
        <v>389</v>
      </c>
      <c r="E77" s="12" t="s">
        <v>335</v>
      </c>
      <c r="F77" s="13" t="n">
        <f aca="false">LEN(E77)-LEN(SUBSTITUTE(E77,",",""))+1</f>
        <v>1</v>
      </c>
      <c r="G77" s="12" t="s">
        <v>420</v>
      </c>
      <c r="H77" s="13" t="s">
        <v>308</v>
      </c>
      <c r="I77" s="12" t="s">
        <v>421</v>
      </c>
      <c r="J77" s="13" t="n">
        <v>0</v>
      </c>
      <c r="K77" s="14" t="n">
        <v>0.5</v>
      </c>
      <c r="L77" s="13" t="s">
        <v>89</v>
      </c>
      <c r="M77" s="12"/>
    </row>
    <row r="78" customFormat="false" ht="21.75" hidden="false" customHeight="true" outlineLevel="0" collapsed="false">
      <c r="A78" s="16" t="s">
        <v>422</v>
      </c>
      <c r="B78" s="17" t="s">
        <v>423</v>
      </c>
      <c r="C78" s="18" t="s">
        <v>67</v>
      </c>
      <c r="D78" s="18" t="s">
        <v>389</v>
      </c>
      <c r="E78" s="12" t="s">
        <v>342</v>
      </c>
      <c r="F78" s="13" t="n">
        <f aca="false">LEN(E78)-LEN(SUBSTITUTE(E78,",",""))+1</f>
        <v>1</v>
      </c>
      <c r="G78" s="12" t="s">
        <v>424</v>
      </c>
      <c r="H78" s="13" t="s">
        <v>308</v>
      </c>
      <c r="I78" s="12" t="s">
        <v>401</v>
      </c>
      <c r="J78" s="13" t="n">
        <v>0</v>
      </c>
      <c r="K78" s="14" t="n">
        <v>1</v>
      </c>
      <c r="L78" s="13" t="s">
        <v>73</v>
      </c>
      <c r="M78" s="12" t="s">
        <v>425</v>
      </c>
    </row>
    <row r="79" customFormat="false" ht="15" hidden="false" customHeight="true" outlineLevel="0" collapsed="false">
      <c r="A79" s="16" t="s">
        <v>426</v>
      </c>
      <c r="B79" s="17" t="s">
        <v>427</v>
      </c>
      <c r="C79" s="18" t="s">
        <v>67</v>
      </c>
      <c r="D79" s="18" t="s">
        <v>389</v>
      </c>
      <c r="E79" s="12" t="s">
        <v>342</v>
      </c>
      <c r="F79" s="13" t="n">
        <f aca="false">LEN(E79)-LEN(SUBSTITUTE(E79,",",""))+1</f>
        <v>1</v>
      </c>
      <c r="G79" s="12" t="s">
        <v>428</v>
      </c>
      <c r="H79" s="13" t="s">
        <v>308</v>
      </c>
      <c r="I79" s="12" t="s">
        <v>421</v>
      </c>
      <c r="J79" s="13" t="n">
        <v>0</v>
      </c>
      <c r="K79" s="14" t="n">
        <v>0.5</v>
      </c>
      <c r="L79" s="13" t="s">
        <v>89</v>
      </c>
      <c r="M79" s="12"/>
    </row>
    <row r="80" customFormat="false" ht="21.75" hidden="false" customHeight="true" outlineLevel="0" collapsed="false">
      <c r="A80" s="16" t="s">
        <v>429</v>
      </c>
      <c r="B80" s="17" t="s">
        <v>430</v>
      </c>
      <c r="C80" s="18" t="s">
        <v>67</v>
      </c>
      <c r="D80" s="18" t="s">
        <v>389</v>
      </c>
      <c r="E80" s="12" t="s">
        <v>431</v>
      </c>
      <c r="F80" s="13" t="n">
        <f aca="false">LEN(E80)-LEN(SUBSTITUTE(E80,",",""))+1</f>
        <v>1</v>
      </c>
      <c r="G80" s="12" t="s">
        <v>432</v>
      </c>
      <c r="H80" s="13" t="s">
        <v>308</v>
      </c>
      <c r="I80" s="12" t="s">
        <v>401</v>
      </c>
      <c r="J80" s="13" t="n">
        <v>0</v>
      </c>
      <c r="K80" s="14" t="n">
        <v>0.5</v>
      </c>
      <c r="L80" s="13" t="s">
        <v>89</v>
      </c>
      <c r="M80" s="12"/>
    </row>
    <row r="81" customFormat="false" ht="21.75" hidden="false" customHeight="true" outlineLevel="0" collapsed="false">
      <c r="A81" s="16" t="s">
        <v>433</v>
      </c>
      <c r="B81" s="17" t="s">
        <v>434</v>
      </c>
      <c r="C81" s="18" t="s">
        <v>67</v>
      </c>
      <c r="D81" s="18" t="s">
        <v>389</v>
      </c>
      <c r="E81" s="12" t="s">
        <v>435</v>
      </c>
      <c r="F81" s="13" t="n">
        <f aca="false">LEN(E81)-LEN(SUBSTITUTE(E81,",",""))+1</f>
        <v>1</v>
      </c>
      <c r="G81" s="12" t="s">
        <v>436</v>
      </c>
      <c r="H81" s="13" t="s">
        <v>308</v>
      </c>
      <c r="I81" s="12" t="s">
        <v>401</v>
      </c>
      <c r="J81" s="13" t="n">
        <v>0</v>
      </c>
      <c r="K81" s="14" t="n">
        <v>0.75</v>
      </c>
      <c r="L81" s="13" t="s">
        <v>89</v>
      </c>
      <c r="M81" s="12"/>
    </row>
    <row r="82" customFormat="false" ht="21.75" hidden="false" customHeight="true" outlineLevel="0" collapsed="false">
      <c r="A82" s="16" t="s">
        <v>437</v>
      </c>
      <c r="B82" s="17" t="s">
        <v>438</v>
      </c>
      <c r="C82" s="18" t="s">
        <v>92</v>
      </c>
      <c r="D82" s="18" t="s">
        <v>389</v>
      </c>
      <c r="E82" s="12" t="s">
        <v>203</v>
      </c>
      <c r="F82" s="13" t="n">
        <f aca="false">LEN(E82)-LEN(SUBSTITUTE(E82,",",""))+1</f>
        <v>1</v>
      </c>
      <c r="G82" s="12" t="s">
        <v>439</v>
      </c>
      <c r="H82" s="13" t="s">
        <v>308</v>
      </c>
      <c r="I82" s="12" t="s">
        <v>440</v>
      </c>
      <c r="J82" s="13" t="n">
        <v>0</v>
      </c>
      <c r="K82" s="14" t="n">
        <v>3.5</v>
      </c>
      <c r="L82" s="13" t="s">
        <v>73</v>
      </c>
      <c r="M82" s="12" t="s">
        <v>441</v>
      </c>
    </row>
    <row r="83" customFormat="false" ht="15" hidden="false" customHeight="true" outlineLevel="0" collapsed="false">
      <c r="A83" s="16" t="s">
        <v>442</v>
      </c>
      <c r="B83" s="17" t="s">
        <v>443</v>
      </c>
      <c r="C83" s="18" t="s">
        <v>92</v>
      </c>
      <c r="D83" s="18" t="s">
        <v>389</v>
      </c>
      <c r="E83" s="12" t="s">
        <v>263</v>
      </c>
      <c r="F83" s="13" t="n">
        <f aca="false">LEN(E83)-LEN(SUBSTITUTE(E83,",",""))+1</f>
        <v>1</v>
      </c>
      <c r="G83" s="12" t="s">
        <v>444</v>
      </c>
      <c r="H83" s="13" t="s">
        <v>308</v>
      </c>
      <c r="I83" s="12" t="s">
        <v>445</v>
      </c>
      <c r="J83" s="13" t="n">
        <v>0</v>
      </c>
      <c r="K83" s="14" t="n">
        <v>2</v>
      </c>
      <c r="L83" s="13" t="s">
        <v>73</v>
      </c>
      <c r="M83" s="12" t="s">
        <v>446</v>
      </c>
    </row>
    <row r="84" customFormat="false" ht="21.75" hidden="false" customHeight="true" outlineLevel="0" collapsed="false">
      <c r="A84" s="16" t="s">
        <v>447</v>
      </c>
      <c r="B84" s="17" t="s">
        <v>448</v>
      </c>
      <c r="C84" s="18" t="s">
        <v>92</v>
      </c>
      <c r="D84" s="18" t="s">
        <v>389</v>
      </c>
      <c r="E84" s="12" t="s">
        <v>449</v>
      </c>
      <c r="F84" s="13" t="n">
        <f aca="false">LEN(E84)-LEN(SUBSTITUTE(E84,",",""))+1</f>
        <v>2</v>
      </c>
      <c r="G84" s="12" t="s">
        <v>450</v>
      </c>
      <c r="H84" s="13" t="s">
        <v>308</v>
      </c>
      <c r="I84" s="12" t="s">
        <v>401</v>
      </c>
      <c r="J84" s="13" t="n">
        <v>0</v>
      </c>
      <c r="K84" s="14" t="n">
        <v>0.5</v>
      </c>
      <c r="L84" s="13" t="s">
        <v>89</v>
      </c>
      <c r="M84" s="12"/>
    </row>
    <row r="85" customFormat="false" ht="21.75" hidden="false" customHeight="true" outlineLevel="0" collapsed="false">
      <c r="A85" s="16" t="s">
        <v>451</v>
      </c>
      <c r="B85" s="17" t="s">
        <v>452</v>
      </c>
      <c r="C85" s="18" t="s">
        <v>92</v>
      </c>
      <c r="D85" s="18" t="s">
        <v>389</v>
      </c>
      <c r="E85" s="12" t="s">
        <v>453</v>
      </c>
      <c r="F85" s="13" t="n">
        <f aca="false">LEN(E85)-LEN(SUBSTITUTE(E85,",",""))+1</f>
        <v>1</v>
      </c>
      <c r="G85" s="12" t="s">
        <v>454</v>
      </c>
      <c r="H85" s="13" t="s">
        <v>308</v>
      </c>
      <c r="I85" s="12" t="s">
        <v>401</v>
      </c>
      <c r="J85" s="13" t="n">
        <v>0</v>
      </c>
      <c r="K85" s="14" t="n">
        <v>0.5</v>
      </c>
      <c r="L85" s="13" t="s">
        <v>89</v>
      </c>
      <c r="M85" s="12"/>
    </row>
    <row r="86" customFormat="false" ht="21.75" hidden="false" customHeight="true" outlineLevel="0" collapsed="false">
      <c r="A86" s="16" t="s">
        <v>455</v>
      </c>
      <c r="B86" s="17" t="s">
        <v>456</v>
      </c>
      <c r="C86" s="18" t="s">
        <v>277</v>
      </c>
      <c r="D86" s="18" t="s">
        <v>389</v>
      </c>
      <c r="E86" s="12" t="s">
        <v>301</v>
      </c>
      <c r="F86" s="13" t="n">
        <f aca="false">LEN(E86)-LEN(SUBSTITUTE(E86,",",""))+1</f>
        <v>1</v>
      </c>
      <c r="G86" s="12" t="s">
        <v>457</v>
      </c>
      <c r="H86" s="13" t="s">
        <v>308</v>
      </c>
      <c r="I86" s="12" t="s">
        <v>458</v>
      </c>
      <c r="J86" s="13" t="n">
        <v>0</v>
      </c>
      <c r="K86" s="14" t="n">
        <v>0.75</v>
      </c>
      <c r="L86" s="13" t="s">
        <v>89</v>
      </c>
      <c r="M86" s="12" t="s">
        <v>459</v>
      </c>
    </row>
    <row r="87" customFormat="false" ht="15" hidden="false" customHeight="true" outlineLevel="0" collapsed="false">
      <c r="A87" s="16" t="s">
        <v>460</v>
      </c>
      <c r="B87" s="17" t="s">
        <v>461</v>
      </c>
      <c r="C87" s="18" t="s">
        <v>277</v>
      </c>
      <c r="D87" s="18" t="s">
        <v>389</v>
      </c>
      <c r="E87" s="12" t="s">
        <v>349</v>
      </c>
      <c r="F87" s="13" t="n">
        <f aca="false">LEN(E87)-LEN(SUBSTITUTE(E87,",",""))+1</f>
        <v>1</v>
      </c>
      <c r="G87" s="12" t="s">
        <v>462</v>
      </c>
      <c r="H87" s="13" t="s">
        <v>308</v>
      </c>
      <c r="I87" s="12" t="s">
        <v>458</v>
      </c>
      <c r="J87" s="13" t="n">
        <v>0</v>
      </c>
      <c r="K87" s="14" t="n">
        <v>1</v>
      </c>
      <c r="L87" s="13" t="s">
        <v>73</v>
      </c>
      <c r="M87" s="12" t="s">
        <v>463</v>
      </c>
    </row>
    <row r="88" customFormat="false" ht="15" hidden="false" customHeight="true" outlineLevel="0" collapsed="false">
      <c r="A88" s="16" t="s">
        <v>464</v>
      </c>
      <c r="B88" s="17" t="s">
        <v>465</v>
      </c>
      <c r="C88" s="18" t="s">
        <v>277</v>
      </c>
      <c r="D88" s="18" t="s">
        <v>389</v>
      </c>
      <c r="E88" s="12" t="s">
        <v>291</v>
      </c>
      <c r="F88" s="13" t="n">
        <f aca="false">LEN(E88)-LEN(SUBSTITUTE(E88,",",""))+1</f>
        <v>1</v>
      </c>
      <c r="G88" s="12" t="s">
        <v>466</v>
      </c>
      <c r="H88" s="13" t="s">
        <v>308</v>
      </c>
      <c r="I88" s="12" t="s">
        <v>458</v>
      </c>
      <c r="J88" s="13" t="n">
        <v>0</v>
      </c>
      <c r="K88" s="14" t="n">
        <v>0.75</v>
      </c>
      <c r="L88" s="13" t="s">
        <v>89</v>
      </c>
      <c r="M88" s="12" t="s">
        <v>467</v>
      </c>
    </row>
    <row r="89" customFormat="false" ht="15" hidden="false" customHeight="true" outlineLevel="0" collapsed="false">
      <c r="A89" s="16" t="s">
        <v>468</v>
      </c>
      <c r="B89" s="17" t="s">
        <v>469</v>
      </c>
      <c r="C89" s="18" t="s">
        <v>277</v>
      </c>
      <c r="D89" s="18" t="s">
        <v>389</v>
      </c>
      <c r="E89" s="12" t="s">
        <v>363</v>
      </c>
      <c r="F89" s="13" t="n">
        <f aca="false">LEN(E89)-LEN(SUBSTITUTE(E89,",",""))+1</f>
        <v>1</v>
      </c>
      <c r="G89" s="12" t="s">
        <v>470</v>
      </c>
      <c r="H89" s="13" t="s">
        <v>308</v>
      </c>
      <c r="I89" s="12" t="s">
        <v>458</v>
      </c>
      <c r="J89" s="13" t="n">
        <v>0</v>
      </c>
      <c r="K89" s="14" t="n">
        <v>0.75</v>
      </c>
      <c r="L89" s="13" t="s">
        <v>89</v>
      </c>
      <c r="M89" s="12"/>
    </row>
    <row r="90" customFormat="false" ht="15" hidden="false" customHeight="true" outlineLevel="0" collapsed="false">
      <c r="A90" s="16" t="s">
        <v>471</v>
      </c>
      <c r="B90" s="17" t="s">
        <v>472</v>
      </c>
      <c r="C90" s="18" t="s">
        <v>277</v>
      </c>
      <c r="D90" s="18" t="s">
        <v>389</v>
      </c>
      <c r="E90" s="12" t="s">
        <v>367</v>
      </c>
      <c r="F90" s="13" t="n">
        <f aca="false">LEN(E90)-LEN(SUBSTITUTE(E90,",",""))+1</f>
        <v>1</v>
      </c>
      <c r="G90" s="12" t="s">
        <v>473</v>
      </c>
      <c r="H90" s="13" t="s">
        <v>308</v>
      </c>
      <c r="I90" s="12" t="s">
        <v>458</v>
      </c>
      <c r="J90" s="13" t="n">
        <v>0</v>
      </c>
      <c r="K90" s="14" t="n">
        <v>0.75</v>
      </c>
      <c r="L90" s="13" t="s">
        <v>89</v>
      </c>
      <c r="M90" s="12"/>
    </row>
    <row r="91" customFormat="false" ht="15" hidden="false" customHeight="true" outlineLevel="0" collapsed="false">
      <c r="A91" s="16" t="s">
        <v>474</v>
      </c>
      <c r="B91" s="17" t="s">
        <v>475</v>
      </c>
      <c r="C91" s="18" t="s">
        <v>277</v>
      </c>
      <c r="D91" s="18" t="s">
        <v>389</v>
      </c>
      <c r="E91" s="12" t="s">
        <v>296</v>
      </c>
      <c r="F91" s="13" t="n">
        <f aca="false">LEN(E91)-LEN(SUBSTITUTE(E91,",",""))+1</f>
        <v>1</v>
      </c>
      <c r="G91" s="12" t="s">
        <v>476</v>
      </c>
      <c r="H91" s="13" t="s">
        <v>308</v>
      </c>
      <c r="I91" s="12" t="s">
        <v>458</v>
      </c>
      <c r="J91" s="13" t="n">
        <v>0</v>
      </c>
      <c r="K91" s="14" t="n">
        <v>0.75</v>
      </c>
      <c r="L91" s="13" t="s">
        <v>89</v>
      </c>
      <c r="M91" s="12"/>
    </row>
    <row r="92" customFormat="false" ht="21.75" hidden="false" customHeight="true" outlineLevel="0" collapsed="false">
      <c r="A92" s="16" t="s">
        <v>477</v>
      </c>
      <c r="B92" s="17" t="s">
        <v>478</v>
      </c>
      <c r="C92" s="18" t="s">
        <v>277</v>
      </c>
      <c r="D92" s="18" t="s">
        <v>389</v>
      </c>
      <c r="E92" s="12" t="s">
        <v>93</v>
      </c>
      <c r="F92" s="13" t="n">
        <f aca="false">LEN(E92)-LEN(SUBSTITUTE(E92,",",""))+1</f>
        <v>1</v>
      </c>
      <c r="G92" s="12" t="s">
        <v>479</v>
      </c>
      <c r="H92" s="13" t="s">
        <v>308</v>
      </c>
      <c r="I92" s="12" t="s">
        <v>480</v>
      </c>
      <c r="J92" s="13" t="n">
        <v>0</v>
      </c>
      <c r="K92" s="14" t="n">
        <v>0.5</v>
      </c>
      <c r="L92" s="13" t="s">
        <v>89</v>
      </c>
      <c r="M92" s="12"/>
    </row>
    <row r="93" customFormat="false" ht="21.75" hidden="false" customHeight="true" outlineLevel="0" collapsed="false">
      <c r="A93" s="16" t="s">
        <v>481</v>
      </c>
      <c r="B93" s="17" t="s">
        <v>482</v>
      </c>
      <c r="C93" s="18" t="s">
        <v>277</v>
      </c>
      <c r="D93" s="18" t="s">
        <v>389</v>
      </c>
      <c r="E93" s="12" t="s">
        <v>483</v>
      </c>
      <c r="F93" s="13" t="n">
        <f aca="false">LEN(E93)-LEN(SUBSTITUTE(E93,",",""))+1</f>
        <v>2</v>
      </c>
      <c r="G93" s="12" t="s">
        <v>484</v>
      </c>
      <c r="H93" s="13" t="s">
        <v>308</v>
      </c>
      <c r="I93" s="12" t="s">
        <v>458</v>
      </c>
      <c r="J93" s="13" t="n">
        <v>0</v>
      </c>
      <c r="K93" s="14" t="n">
        <v>0.75</v>
      </c>
      <c r="L93" s="13" t="s">
        <v>73</v>
      </c>
      <c r="M93" s="12" t="s">
        <v>485</v>
      </c>
    </row>
    <row r="94" customFormat="false" ht="21.75" hidden="false" customHeight="true" outlineLevel="0" collapsed="false">
      <c r="A94" s="16" t="s">
        <v>486</v>
      </c>
      <c r="B94" s="17" t="s">
        <v>487</v>
      </c>
      <c r="C94" s="18" t="s">
        <v>92</v>
      </c>
      <c r="D94" s="18" t="s">
        <v>389</v>
      </c>
      <c r="E94" s="12" t="s">
        <v>384</v>
      </c>
      <c r="F94" s="13" t="n">
        <f aca="false">LEN(E94)-LEN(SUBSTITUTE(E94,",",""))+1</f>
        <v>5</v>
      </c>
      <c r="G94" s="12" t="s">
        <v>488</v>
      </c>
      <c r="H94" s="13" t="s">
        <v>308</v>
      </c>
      <c r="I94" s="12" t="s">
        <v>397</v>
      </c>
      <c r="J94" s="13" t="n">
        <v>0</v>
      </c>
      <c r="K94" s="14" t="n">
        <v>0.25</v>
      </c>
      <c r="L94" s="13" t="s">
        <v>89</v>
      </c>
      <c r="M94" s="12"/>
    </row>
    <row r="95" customFormat="false" ht="21.75" hidden="false" customHeight="true" outlineLevel="0" collapsed="false">
      <c r="A95" s="16" t="s">
        <v>489</v>
      </c>
      <c r="B95" s="17" t="s">
        <v>490</v>
      </c>
      <c r="C95" s="18" t="s">
        <v>92</v>
      </c>
      <c r="D95" s="18" t="s">
        <v>389</v>
      </c>
      <c r="E95" s="12" t="s">
        <v>491</v>
      </c>
      <c r="F95" s="13" t="n">
        <f aca="false">LEN(E95)-LEN(SUBSTITUTE(E95,",",""))+1</f>
        <v>3</v>
      </c>
      <c r="G95" s="12" t="s">
        <v>492</v>
      </c>
      <c r="H95" s="13" t="s">
        <v>308</v>
      </c>
      <c r="I95" s="12" t="s">
        <v>397</v>
      </c>
      <c r="J95" s="13" t="n">
        <v>0</v>
      </c>
      <c r="K95" s="14" t="n">
        <v>0.25</v>
      </c>
      <c r="L95" s="13" t="s">
        <v>89</v>
      </c>
      <c r="M95" s="12"/>
    </row>
    <row r="96" customFormat="false" ht="21.75" hidden="false" customHeight="true" outlineLevel="0" collapsed="false">
      <c r="A96" s="16" t="s">
        <v>493</v>
      </c>
      <c r="B96" s="17" t="s">
        <v>494</v>
      </c>
      <c r="C96" s="18" t="s">
        <v>277</v>
      </c>
      <c r="D96" s="18" t="s">
        <v>389</v>
      </c>
      <c r="E96" s="12" t="s">
        <v>495</v>
      </c>
      <c r="F96" s="13" t="n">
        <f aca="false">LEN(E96)-LEN(SUBSTITUTE(E96,",",""))+1</f>
        <v>2</v>
      </c>
      <c r="G96" s="12" t="s">
        <v>496</v>
      </c>
      <c r="H96" s="13" t="s">
        <v>308</v>
      </c>
      <c r="I96" s="12" t="s">
        <v>401</v>
      </c>
      <c r="J96" s="13" t="n">
        <v>0</v>
      </c>
      <c r="K96" s="14" t="n">
        <v>0.5</v>
      </c>
      <c r="L96" s="13" t="s">
        <v>73</v>
      </c>
      <c r="M96" s="12" t="s">
        <v>497</v>
      </c>
    </row>
    <row r="97" customFormat="false" ht="21.75" hidden="false" customHeight="true" outlineLevel="0" collapsed="false">
      <c r="A97" s="16" t="s">
        <v>498</v>
      </c>
      <c r="B97" s="17" t="s">
        <v>499</v>
      </c>
      <c r="C97" s="18" t="s">
        <v>277</v>
      </c>
      <c r="D97" s="18" t="s">
        <v>389</v>
      </c>
      <c r="E97" s="12" t="s">
        <v>483</v>
      </c>
      <c r="F97" s="13" t="n">
        <f aca="false">LEN(E97)-LEN(SUBSTITUTE(E97,",",""))+1</f>
        <v>2</v>
      </c>
      <c r="G97" s="12" t="s">
        <v>500</v>
      </c>
      <c r="H97" s="13" t="s">
        <v>308</v>
      </c>
      <c r="I97" s="12" t="s">
        <v>480</v>
      </c>
      <c r="J97" s="13" t="n">
        <v>0</v>
      </c>
      <c r="K97" s="14" t="n">
        <v>0.5</v>
      </c>
      <c r="L97" s="13" t="s">
        <v>89</v>
      </c>
      <c r="M97" s="12" t="s">
        <v>501</v>
      </c>
    </row>
    <row r="98" customFormat="false" ht="21.75" hidden="false" customHeight="true" outlineLevel="0" collapsed="false">
      <c r="A98" s="19" t="s">
        <v>502</v>
      </c>
      <c r="B98" s="20" t="s">
        <v>503</v>
      </c>
      <c r="C98" s="21" t="s">
        <v>277</v>
      </c>
      <c r="D98" s="21" t="s">
        <v>504</v>
      </c>
      <c r="E98" s="12" t="s">
        <v>296</v>
      </c>
      <c r="F98" s="13" t="n">
        <f aca="false">LEN(E98)-LEN(SUBSTITUTE(E98,",",""))+1</f>
        <v>1</v>
      </c>
      <c r="G98" s="12" t="s">
        <v>505</v>
      </c>
      <c r="H98" s="13" t="s">
        <v>308</v>
      </c>
      <c r="I98" s="12" t="s">
        <v>506</v>
      </c>
      <c r="J98" s="13" t="n">
        <v>0</v>
      </c>
      <c r="K98" s="14" t="n">
        <v>0.1</v>
      </c>
      <c r="L98" s="13" t="s">
        <v>89</v>
      </c>
      <c r="M98" s="12" t="s">
        <v>507</v>
      </c>
    </row>
    <row r="99" customFormat="false" ht="15" hidden="false" customHeight="true" outlineLevel="0" collapsed="false">
      <c r="A99" s="19" t="s">
        <v>508</v>
      </c>
      <c r="B99" s="20" t="s">
        <v>509</v>
      </c>
      <c r="C99" s="21" t="s">
        <v>67</v>
      </c>
      <c r="D99" s="21" t="s">
        <v>504</v>
      </c>
      <c r="E99" s="12" t="s">
        <v>431</v>
      </c>
      <c r="F99" s="13" t="n">
        <f aca="false">LEN(E99)-LEN(SUBSTITUTE(E99,",",""))+1</f>
        <v>1</v>
      </c>
      <c r="G99" s="12" t="s">
        <v>510</v>
      </c>
      <c r="H99" s="13" t="s">
        <v>308</v>
      </c>
      <c r="I99" s="12" t="s">
        <v>506</v>
      </c>
      <c r="J99" s="13" t="n">
        <v>0</v>
      </c>
      <c r="K99" s="14" t="n">
        <v>0.1</v>
      </c>
      <c r="L99" s="13" t="s">
        <v>89</v>
      </c>
      <c r="M99" s="12"/>
    </row>
    <row r="100" customFormat="false" ht="15" hidden="false" customHeight="true" outlineLevel="0" collapsed="false">
      <c r="A100" s="19" t="s">
        <v>511</v>
      </c>
      <c r="B100" s="20" t="s">
        <v>512</v>
      </c>
      <c r="C100" s="21" t="s">
        <v>67</v>
      </c>
      <c r="D100" s="21" t="s">
        <v>504</v>
      </c>
      <c r="E100" s="12" t="s">
        <v>435</v>
      </c>
      <c r="F100" s="13" t="n">
        <f aca="false">LEN(E100)-LEN(SUBSTITUTE(E100,",",""))+1</f>
        <v>1</v>
      </c>
      <c r="G100" s="12" t="s">
        <v>513</v>
      </c>
      <c r="H100" s="13" t="s">
        <v>308</v>
      </c>
      <c r="I100" s="12" t="s">
        <v>506</v>
      </c>
      <c r="J100" s="13" t="n">
        <v>0</v>
      </c>
      <c r="K100" s="14" t="n">
        <v>0.1</v>
      </c>
      <c r="L100" s="13" t="s">
        <v>89</v>
      </c>
      <c r="M100" s="12"/>
    </row>
    <row r="101" customFormat="false" ht="15" hidden="false" customHeight="true" outlineLevel="0" collapsed="false">
      <c r="A101" s="19" t="s">
        <v>514</v>
      </c>
      <c r="B101" s="20" t="s">
        <v>515</v>
      </c>
      <c r="C101" s="21" t="s">
        <v>67</v>
      </c>
      <c r="D101" s="21" t="s">
        <v>504</v>
      </c>
      <c r="E101" s="12" t="s">
        <v>431</v>
      </c>
      <c r="F101" s="13" t="n">
        <f aca="false">LEN(E101)-LEN(SUBSTITUTE(E101,",",""))+1</f>
        <v>1</v>
      </c>
      <c r="G101" s="12" t="s">
        <v>516</v>
      </c>
      <c r="H101" s="13" t="s">
        <v>308</v>
      </c>
      <c r="I101" s="12" t="s">
        <v>517</v>
      </c>
      <c r="J101" s="13" t="n">
        <v>0</v>
      </c>
      <c r="K101" s="14" t="n">
        <v>0.1</v>
      </c>
      <c r="L101" s="13" t="s">
        <v>89</v>
      </c>
      <c r="M101" s="12" t="s">
        <v>518</v>
      </c>
    </row>
    <row r="102" customFormat="false" ht="15" hidden="false" customHeight="true" outlineLevel="0" collapsed="false">
      <c r="A102" s="19" t="s">
        <v>519</v>
      </c>
      <c r="B102" s="20" t="s">
        <v>520</v>
      </c>
      <c r="C102" s="21" t="s">
        <v>92</v>
      </c>
      <c r="D102" s="21" t="s">
        <v>504</v>
      </c>
      <c r="E102" s="12" t="s">
        <v>453</v>
      </c>
      <c r="F102" s="13" t="n">
        <f aca="false">LEN(E102)-LEN(SUBSTITUTE(E102,",",""))+1</f>
        <v>1</v>
      </c>
      <c r="G102" s="12" t="s">
        <v>521</v>
      </c>
      <c r="H102" s="13" t="s">
        <v>308</v>
      </c>
      <c r="I102" s="12" t="s">
        <v>517</v>
      </c>
      <c r="J102" s="13" t="n">
        <v>0</v>
      </c>
      <c r="K102" s="14" t="n">
        <v>0.1</v>
      </c>
      <c r="L102" s="13" t="s">
        <v>89</v>
      </c>
      <c r="M102" s="12"/>
    </row>
    <row r="103" customFormat="false" ht="15" hidden="false" customHeight="true" outlineLevel="0" collapsed="false">
      <c r="A103" s="19" t="s">
        <v>522</v>
      </c>
      <c r="B103" s="20" t="s">
        <v>523</v>
      </c>
      <c r="C103" s="21" t="s">
        <v>277</v>
      </c>
      <c r="D103" s="21" t="s">
        <v>504</v>
      </c>
      <c r="E103" s="12" t="s">
        <v>349</v>
      </c>
      <c r="F103" s="13" t="n">
        <f aca="false">LEN(E103)-LEN(SUBSTITUTE(E103,",",""))+1</f>
        <v>1</v>
      </c>
      <c r="G103" s="12" t="s">
        <v>524</v>
      </c>
      <c r="H103" s="13" t="s">
        <v>308</v>
      </c>
      <c r="I103" s="12" t="s">
        <v>517</v>
      </c>
      <c r="J103" s="13" t="n">
        <v>0</v>
      </c>
      <c r="K103" s="14" t="n">
        <v>0.1</v>
      </c>
      <c r="L103" s="13" t="s">
        <v>89</v>
      </c>
      <c r="M103" s="12"/>
    </row>
    <row r="104" customFormat="false" ht="15" hidden="false" customHeight="true" outlineLevel="0" collapsed="false">
      <c r="A104" s="19" t="s">
        <v>525</v>
      </c>
      <c r="B104" s="20" t="s">
        <v>526</v>
      </c>
      <c r="C104" s="21" t="s">
        <v>277</v>
      </c>
      <c r="D104" s="21" t="s">
        <v>504</v>
      </c>
      <c r="E104" s="12" t="s">
        <v>367</v>
      </c>
      <c r="F104" s="13" t="n">
        <f aca="false">LEN(E104)-LEN(SUBSTITUTE(E104,",",""))+1</f>
        <v>1</v>
      </c>
      <c r="G104" s="12" t="s">
        <v>527</v>
      </c>
      <c r="H104" s="13" t="s">
        <v>308</v>
      </c>
      <c r="I104" s="12" t="s">
        <v>517</v>
      </c>
      <c r="J104" s="13" t="n">
        <v>0</v>
      </c>
      <c r="K104" s="14" t="n">
        <v>0.1</v>
      </c>
      <c r="L104" s="13" t="s">
        <v>89</v>
      </c>
      <c r="M104" s="12"/>
    </row>
    <row r="105" customFormat="false" ht="15" hidden="false" customHeight="true" outlineLevel="0" collapsed="false">
      <c r="A105" s="22" t="s">
        <v>528</v>
      </c>
      <c r="B105" s="23" t="s">
        <v>529</v>
      </c>
      <c r="C105" s="24" t="s">
        <v>67</v>
      </c>
      <c r="D105" s="24" t="s">
        <v>530</v>
      </c>
      <c r="E105" s="12" t="s">
        <v>531</v>
      </c>
      <c r="F105" s="13" t="n">
        <f aca="false">LEN(E105)-LEN(SUBSTITUTE(E105,",",""))+1</f>
        <v>1</v>
      </c>
      <c r="G105" s="12" t="s">
        <v>532</v>
      </c>
      <c r="H105" s="13" t="s">
        <v>308</v>
      </c>
      <c r="I105" s="12" t="s">
        <v>308</v>
      </c>
      <c r="J105" s="13" t="n">
        <v>0</v>
      </c>
      <c r="K105" s="14" t="n">
        <v>1.5</v>
      </c>
      <c r="L105" s="13" t="s">
        <v>73</v>
      </c>
      <c r="M105" s="12"/>
    </row>
    <row r="106" customFormat="false" ht="21.75" hidden="false" customHeight="true" outlineLevel="0" collapsed="false">
      <c r="A106" s="22" t="s">
        <v>533</v>
      </c>
      <c r="B106" s="23" t="s">
        <v>534</v>
      </c>
      <c r="C106" s="24" t="s">
        <v>92</v>
      </c>
      <c r="D106" s="24" t="s">
        <v>530</v>
      </c>
      <c r="E106" s="12" t="s">
        <v>535</v>
      </c>
      <c r="F106" s="13" t="n">
        <f aca="false">LEN(E106)-LEN(SUBSTITUTE(E106,",",""))+1</f>
        <v>3</v>
      </c>
      <c r="G106" s="12" t="s">
        <v>536</v>
      </c>
      <c r="H106" s="13" t="s">
        <v>308</v>
      </c>
      <c r="I106" s="12" t="s">
        <v>537</v>
      </c>
      <c r="J106" s="13" t="n">
        <v>0</v>
      </c>
      <c r="K106" s="14" t="n">
        <v>2</v>
      </c>
      <c r="L106" s="15" t="s">
        <v>81</v>
      </c>
      <c r="M106" s="12" t="s">
        <v>538</v>
      </c>
    </row>
    <row r="107" customFormat="false" ht="15" hidden="false" customHeight="true" outlineLevel="0" collapsed="false">
      <c r="A107" s="22" t="s">
        <v>539</v>
      </c>
      <c r="B107" s="23" t="s">
        <v>540</v>
      </c>
      <c r="C107" s="24" t="s">
        <v>92</v>
      </c>
      <c r="D107" s="24" t="s">
        <v>530</v>
      </c>
      <c r="E107" s="12" t="s">
        <v>541</v>
      </c>
      <c r="F107" s="13" t="n">
        <f aca="false">LEN(E107)-LEN(SUBSTITUTE(E107,",",""))+1</f>
        <v>3</v>
      </c>
      <c r="G107" s="12" t="s">
        <v>542</v>
      </c>
      <c r="H107" s="13" t="s">
        <v>308</v>
      </c>
      <c r="I107" s="12" t="s">
        <v>308</v>
      </c>
      <c r="J107" s="13" t="n">
        <v>0</v>
      </c>
      <c r="K107" s="14" t="n">
        <v>2</v>
      </c>
      <c r="L107" s="13" t="s">
        <v>73</v>
      </c>
      <c r="M107" s="12"/>
    </row>
    <row r="108" customFormat="false" ht="21.75" hidden="false" customHeight="true" outlineLevel="0" collapsed="false">
      <c r="A108" s="22" t="s">
        <v>543</v>
      </c>
      <c r="B108" s="23" t="s">
        <v>544</v>
      </c>
      <c r="C108" s="24" t="s">
        <v>277</v>
      </c>
      <c r="D108" s="24" t="s">
        <v>530</v>
      </c>
      <c r="E108" s="12" t="s">
        <v>545</v>
      </c>
      <c r="F108" s="13" t="n">
        <f aca="false">LEN(E108)-LEN(SUBSTITUTE(E108,",",""))+1</f>
        <v>7</v>
      </c>
      <c r="G108" s="12" t="s">
        <v>546</v>
      </c>
      <c r="H108" s="13" t="s">
        <v>308</v>
      </c>
      <c r="I108" s="12" t="s">
        <v>308</v>
      </c>
      <c r="J108" s="13" t="n">
        <v>0</v>
      </c>
      <c r="K108" s="14" t="n">
        <v>3</v>
      </c>
      <c r="L108" s="15" t="s">
        <v>81</v>
      </c>
      <c r="M108" s="12" t="s">
        <v>547</v>
      </c>
    </row>
    <row r="109" customFormat="false" ht="21.75" hidden="false" customHeight="true" outlineLevel="0" collapsed="false">
      <c r="A109" s="22" t="s">
        <v>548</v>
      </c>
      <c r="B109" s="23" t="s">
        <v>549</v>
      </c>
      <c r="C109" s="24" t="s">
        <v>277</v>
      </c>
      <c r="D109" s="24" t="s">
        <v>530</v>
      </c>
      <c r="E109" s="12" t="s">
        <v>550</v>
      </c>
      <c r="F109" s="13" t="n">
        <f aca="false">LEN(E109)-LEN(SUBSTITUTE(E109,",",""))+1</f>
        <v>5</v>
      </c>
      <c r="G109" s="12" t="s">
        <v>551</v>
      </c>
      <c r="H109" s="13" t="s">
        <v>308</v>
      </c>
      <c r="I109" s="12" t="s">
        <v>308</v>
      </c>
      <c r="J109" s="13" t="n">
        <v>0</v>
      </c>
      <c r="K109" s="14" t="n">
        <v>1</v>
      </c>
      <c r="L109" s="13" t="s">
        <v>73</v>
      </c>
      <c r="M109" s="12"/>
    </row>
    <row r="110" customFormat="false" ht="21.75" hidden="false" customHeight="true" outlineLevel="0" collapsed="false">
      <c r="A110" s="22" t="s">
        <v>552</v>
      </c>
      <c r="B110" s="23" t="s">
        <v>553</v>
      </c>
      <c r="C110" s="24" t="s">
        <v>67</v>
      </c>
      <c r="D110" s="24" t="s">
        <v>530</v>
      </c>
      <c r="E110" s="12" t="s">
        <v>554</v>
      </c>
      <c r="F110" s="13" t="n">
        <f aca="false">LEN(E110)-LEN(SUBSTITUTE(E110,",",""))+1</f>
        <v>3</v>
      </c>
      <c r="G110" s="12" t="s">
        <v>555</v>
      </c>
      <c r="H110" s="13" t="s">
        <v>308</v>
      </c>
      <c r="I110" s="12" t="s">
        <v>308</v>
      </c>
      <c r="J110" s="13" t="n">
        <v>0</v>
      </c>
      <c r="K110" s="14" t="n">
        <v>2</v>
      </c>
      <c r="L110" s="13" t="s">
        <v>73</v>
      </c>
      <c r="M110" s="12" t="s">
        <v>556</v>
      </c>
    </row>
    <row r="111" customFormat="false" ht="15" hidden="false" customHeight="true" outlineLevel="0" collapsed="false">
      <c r="A111" s="22" t="s">
        <v>557</v>
      </c>
      <c r="B111" s="23" t="s">
        <v>558</v>
      </c>
      <c r="C111" s="24" t="s">
        <v>67</v>
      </c>
      <c r="D111" s="24" t="s">
        <v>530</v>
      </c>
      <c r="E111" s="12" t="s">
        <v>559</v>
      </c>
      <c r="F111" s="13" t="n">
        <f aca="false">LEN(E111)-LEN(SUBSTITUTE(E111,",",""))+1</f>
        <v>2</v>
      </c>
      <c r="G111" s="12" t="s">
        <v>560</v>
      </c>
      <c r="H111" s="13" t="s">
        <v>308</v>
      </c>
      <c r="I111" s="12" t="s">
        <v>308</v>
      </c>
      <c r="J111" s="13" t="n">
        <v>0</v>
      </c>
      <c r="K111" s="14" t="n">
        <v>2</v>
      </c>
      <c r="L111" s="13" t="s">
        <v>73</v>
      </c>
      <c r="M111" s="12"/>
    </row>
    <row r="113" customFormat="false" ht="15" hidden="false" customHeight="true" outlineLevel="0" collapsed="false">
      <c r="B113" s="25" t="s">
        <v>561</v>
      </c>
      <c r="J113" s="26" t="n">
        <f aca="false">SUM(J5:J111)</f>
        <v>48</v>
      </c>
      <c r="K113" s="27" t="n">
        <f aca="false">SUM(K5:K111)</f>
        <v>122.7</v>
      </c>
      <c r="M113" s="3" t="s">
        <v>562</v>
      </c>
    </row>
  </sheetData>
  <autoFilter ref="A4:M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9"/>
    <col collapsed="false" customWidth="true" hidden="false" outlineLevel="0" max="3" min="3" style="1" width="46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7" min="6" style="1" width="9"/>
    <col collapsed="false" customWidth="true" hidden="false" outlineLevel="0" max="8" min="8" style="1" width="11"/>
    <col collapsed="false" customWidth="true" hidden="false" outlineLevel="0" max="9" min="9" style="1" width="66"/>
  </cols>
  <sheetData>
    <row r="1" customFormat="false" ht="18" hidden="false" customHeight="true" outlineLevel="0" collapsed="false">
      <c r="A1" s="2" t="s">
        <v>563</v>
      </c>
    </row>
    <row r="2" customFormat="false" ht="15" hidden="false" customHeight="true" outlineLevel="0" collapsed="false">
      <c r="A2" s="3" t="s">
        <v>564</v>
      </c>
    </row>
    <row r="4" customFormat="false" ht="33.75" hidden="false" customHeight="true" outlineLevel="0" collapsed="false">
      <c r="A4" s="28" t="s">
        <v>565</v>
      </c>
      <c r="B4" s="28" t="s">
        <v>52</v>
      </c>
      <c r="C4" s="28" t="s">
        <v>53</v>
      </c>
      <c r="D4" s="28" t="s">
        <v>566</v>
      </c>
      <c r="E4" s="28" t="s">
        <v>60</v>
      </c>
      <c r="F4" s="28" t="s">
        <v>567</v>
      </c>
      <c r="G4" s="28" t="s">
        <v>568</v>
      </c>
      <c r="H4" s="28" t="s">
        <v>63</v>
      </c>
      <c r="I4" s="28" t="s">
        <v>569</v>
      </c>
    </row>
    <row r="5" customFormat="false" ht="15" hidden="false" customHeight="true" outlineLevel="0" collapsed="false">
      <c r="A5" s="29" t="s">
        <v>570</v>
      </c>
      <c r="B5" s="30"/>
      <c r="C5" s="30"/>
      <c r="D5" s="30"/>
      <c r="E5" s="30"/>
      <c r="F5" s="30"/>
      <c r="G5" s="30"/>
      <c r="H5" s="30"/>
      <c r="I5" s="30"/>
    </row>
    <row r="6" customFormat="false" ht="21.75" hidden="false" customHeight="true" outlineLevel="0" collapsed="false">
      <c r="A6" s="31"/>
      <c r="B6" s="32" t="s">
        <v>75</v>
      </c>
      <c r="C6" s="12" t="s">
        <v>76</v>
      </c>
      <c r="D6" s="33" t="s">
        <v>79</v>
      </c>
      <c r="E6" s="12" t="s">
        <v>80</v>
      </c>
      <c r="F6" s="33" t="n">
        <v>0</v>
      </c>
      <c r="G6" s="34" t="n">
        <v>4</v>
      </c>
      <c r="H6" s="35" t="s">
        <v>81</v>
      </c>
      <c r="I6" s="12" t="s">
        <v>82</v>
      </c>
    </row>
    <row r="7" customFormat="false" ht="21.75" hidden="false" customHeight="true" outlineLevel="0" collapsed="false">
      <c r="A7" s="31"/>
      <c r="B7" s="32" t="s">
        <v>65</v>
      </c>
      <c r="C7" s="12" t="s">
        <v>66</v>
      </c>
      <c r="D7" s="33" t="s">
        <v>71</v>
      </c>
      <c r="E7" s="12" t="s">
        <v>72</v>
      </c>
      <c r="F7" s="33" t="n">
        <v>0</v>
      </c>
      <c r="G7" s="34" t="n">
        <v>3</v>
      </c>
      <c r="H7" s="33" t="s">
        <v>73</v>
      </c>
      <c r="I7" s="12" t="s">
        <v>74</v>
      </c>
    </row>
    <row r="8" customFormat="false" ht="21.75" hidden="false" customHeight="true" outlineLevel="0" collapsed="false">
      <c r="A8" s="31"/>
      <c r="B8" s="32" t="s">
        <v>98</v>
      </c>
      <c r="C8" s="12" t="s">
        <v>99</v>
      </c>
      <c r="D8" s="33" t="s">
        <v>102</v>
      </c>
      <c r="E8" s="12" t="s">
        <v>103</v>
      </c>
      <c r="F8" s="33" t="n">
        <v>2</v>
      </c>
      <c r="G8" s="34" t="n">
        <v>4</v>
      </c>
      <c r="H8" s="35" t="s">
        <v>81</v>
      </c>
      <c r="I8" s="12" t="s">
        <v>104</v>
      </c>
    </row>
    <row r="9" customFormat="false" ht="15" hidden="false" customHeight="true" outlineLevel="0" collapsed="false">
      <c r="A9" s="31"/>
      <c r="B9" s="32" t="s">
        <v>129</v>
      </c>
      <c r="C9" s="12" t="s">
        <v>130</v>
      </c>
      <c r="D9" s="33" t="s">
        <v>109</v>
      </c>
      <c r="E9" s="12" t="s">
        <v>133</v>
      </c>
      <c r="F9" s="33" t="n">
        <v>2</v>
      </c>
      <c r="G9" s="34" t="n">
        <v>3</v>
      </c>
      <c r="H9" s="35" t="s">
        <v>81</v>
      </c>
      <c r="I9" s="12" t="s">
        <v>134</v>
      </c>
    </row>
    <row r="10" customFormat="false" ht="15" hidden="false" customHeight="true" outlineLevel="0" collapsed="false">
      <c r="A10" s="31"/>
      <c r="B10" s="32" t="s">
        <v>135</v>
      </c>
      <c r="C10" s="12" t="s">
        <v>136</v>
      </c>
      <c r="D10" s="33" t="s">
        <v>138</v>
      </c>
      <c r="E10" s="12" t="s">
        <v>139</v>
      </c>
      <c r="F10" s="33" t="n">
        <v>2</v>
      </c>
      <c r="G10" s="34" t="n">
        <v>4</v>
      </c>
      <c r="H10" s="35" t="s">
        <v>81</v>
      </c>
      <c r="I10" s="12" t="s">
        <v>140</v>
      </c>
    </row>
    <row r="11" customFormat="false" ht="15" hidden="false" customHeight="true" outlineLevel="0" collapsed="false">
      <c r="A11" s="31"/>
      <c r="B11" s="32" t="s">
        <v>236</v>
      </c>
      <c r="C11" s="12" t="s">
        <v>237</v>
      </c>
      <c r="D11" s="33" t="s">
        <v>144</v>
      </c>
      <c r="E11" s="12" t="s">
        <v>240</v>
      </c>
      <c r="F11" s="33" t="n">
        <v>0</v>
      </c>
      <c r="G11" s="34" t="n">
        <v>1.5</v>
      </c>
      <c r="H11" s="33" t="s">
        <v>73</v>
      </c>
      <c r="I11" s="12" t="s">
        <v>241</v>
      </c>
    </row>
    <row r="12" customFormat="false" ht="15" hidden="false" customHeight="true" outlineLevel="0" collapsed="false">
      <c r="C12" s="36" t="s">
        <v>571</v>
      </c>
      <c r="G12" s="37" t="n">
        <f aca="false">SUM(G6:G11)</f>
        <v>19.5</v>
      </c>
    </row>
    <row r="14" customFormat="false" ht="15" hidden="false" customHeight="true" outlineLevel="0" collapsed="false">
      <c r="A14" s="29" t="s">
        <v>572</v>
      </c>
      <c r="B14" s="30"/>
      <c r="C14" s="30"/>
      <c r="D14" s="30"/>
      <c r="E14" s="30"/>
      <c r="F14" s="30"/>
      <c r="G14" s="30"/>
      <c r="H14" s="30"/>
      <c r="I14" s="30"/>
    </row>
    <row r="15" customFormat="false" ht="15" hidden="false" customHeight="true" outlineLevel="0" collapsed="false">
      <c r="A15" s="31"/>
      <c r="B15" s="32" t="s">
        <v>83</v>
      </c>
      <c r="C15" s="12" t="s">
        <v>84</v>
      </c>
      <c r="D15" s="33" t="s">
        <v>87</v>
      </c>
      <c r="E15" s="12" t="s">
        <v>88</v>
      </c>
      <c r="F15" s="33" t="n">
        <v>0</v>
      </c>
      <c r="G15" s="34" t="n">
        <v>1</v>
      </c>
      <c r="H15" s="33" t="s">
        <v>89</v>
      </c>
      <c r="I15" s="12" t="s">
        <v>86</v>
      </c>
    </row>
    <row r="16" customFormat="false" ht="15" hidden="false" customHeight="true" outlineLevel="0" collapsed="false">
      <c r="A16" s="31"/>
      <c r="B16" s="32" t="s">
        <v>90</v>
      </c>
      <c r="C16" s="12" t="s">
        <v>91</v>
      </c>
      <c r="D16" s="33" t="s">
        <v>95</v>
      </c>
      <c r="E16" s="12" t="s">
        <v>96</v>
      </c>
      <c r="F16" s="33" t="n">
        <v>0</v>
      </c>
      <c r="G16" s="34" t="n">
        <v>1</v>
      </c>
      <c r="H16" s="33" t="s">
        <v>89</v>
      </c>
      <c r="I16" s="12" t="s">
        <v>97</v>
      </c>
    </row>
    <row r="17" customFormat="false" ht="15" hidden="false" customHeight="true" outlineLevel="0" collapsed="false">
      <c r="A17" s="31"/>
      <c r="B17" s="32" t="s">
        <v>105</v>
      </c>
      <c r="C17" s="12" t="s">
        <v>106</v>
      </c>
      <c r="D17" s="33" t="s">
        <v>109</v>
      </c>
      <c r="E17" s="12" t="s">
        <v>110</v>
      </c>
      <c r="F17" s="33" t="n">
        <v>0</v>
      </c>
      <c r="G17" s="34" t="n">
        <v>1</v>
      </c>
      <c r="H17" s="33" t="s">
        <v>89</v>
      </c>
      <c r="I17" s="12" t="s">
        <v>108</v>
      </c>
    </row>
    <row r="18" customFormat="false" ht="15" hidden="false" customHeight="true" outlineLevel="0" collapsed="false">
      <c r="A18" s="31"/>
      <c r="B18" s="32" t="s">
        <v>111</v>
      </c>
      <c r="C18" s="12" t="s">
        <v>112</v>
      </c>
      <c r="D18" s="33" t="s">
        <v>115</v>
      </c>
      <c r="E18" s="12" t="s">
        <v>116</v>
      </c>
      <c r="F18" s="33" t="n">
        <v>1</v>
      </c>
      <c r="G18" s="34" t="n">
        <v>1</v>
      </c>
      <c r="H18" s="33" t="s">
        <v>89</v>
      </c>
      <c r="I18" s="12" t="s">
        <v>117</v>
      </c>
    </row>
    <row r="19" customFormat="false" ht="15" hidden="false" customHeight="true" outlineLevel="0" collapsed="false">
      <c r="A19" s="31"/>
      <c r="B19" s="32" t="s">
        <v>118</v>
      </c>
      <c r="C19" s="12" t="s">
        <v>119</v>
      </c>
      <c r="D19" s="33" t="s">
        <v>122</v>
      </c>
      <c r="E19" s="12" t="s">
        <v>123</v>
      </c>
      <c r="F19" s="33" t="n">
        <v>0</v>
      </c>
      <c r="G19" s="34" t="n">
        <v>1</v>
      </c>
      <c r="H19" s="33" t="s">
        <v>89</v>
      </c>
      <c r="I19" s="12" t="s">
        <v>121</v>
      </c>
    </row>
    <row r="20" customFormat="false" ht="15" hidden="false" customHeight="true" outlineLevel="0" collapsed="false">
      <c r="A20" s="31"/>
      <c r="B20" s="32" t="s">
        <v>124</v>
      </c>
      <c r="C20" s="12" t="s">
        <v>125</v>
      </c>
      <c r="D20" s="33" t="s">
        <v>128</v>
      </c>
      <c r="E20" s="12" t="s">
        <v>96</v>
      </c>
      <c r="F20" s="33" t="n">
        <v>0</v>
      </c>
      <c r="G20" s="34" t="n">
        <v>0.5</v>
      </c>
      <c r="H20" s="33" t="s">
        <v>89</v>
      </c>
      <c r="I20" s="12" t="s">
        <v>127</v>
      </c>
    </row>
    <row r="21" customFormat="false" ht="15" hidden="false" customHeight="true" outlineLevel="0" collapsed="false">
      <c r="A21" s="31"/>
      <c r="B21" s="32" t="s">
        <v>141</v>
      </c>
      <c r="C21" s="12" t="s">
        <v>142</v>
      </c>
      <c r="D21" s="33" t="s">
        <v>144</v>
      </c>
      <c r="E21" s="12" t="s">
        <v>145</v>
      </c>
      <c r="F21" s="33" t="n">
        <v>0</v>
      </c>
      <c r="G21" s="34" t="n">
        <v>0.5</v>
      </c>
      <c r="H21" s="33" t="s">
        <v>89</v>
      </c>
      <c r="I21" s="12" t="s">
        <v>143</v>
      </c>
    </row>
    <row r="22" customFormat="false" ht="15" hidden="false" customHeight="true" outlineLevel="0" collapsed="false">
      <c r="A22" s="31"/>
      <c r="B22" s="32" t="s">
        <v>146</v>
      </c>
      <c r="C22" s="12" t="s">
        <v>147</v>
      </c>
      <c r="D22" s="33" t="s">
        <v>122</v>
      </c>
      <c r="E22" s="12" t="s">
        <v>123</v>
      </c>
      <c r="F22" s="33" t="n">
        <v>1</v>
      </c>
      <c r="G22" s="34" t="n">
        <v>2</v>
      </c>
      <c r="H22" s="33" t="s">
        <v>73</v>
      </c>
      <c r="I22" s="12" t="s">
        <v>150</v>
      </c>
    </row>
    <row r="23" customFormat="false" ht="15" hidden="false" customHeight="true" outlineLevel="0" collapsed="false">
      <c r="A23" s="31"/>
      <c r="B23" s="32" t="s">
        <v>151</v>
      </c>
      <c r="C23" s="12" t="s">
        <v>152</v>
      </c>
      <c r="D23" s="33" t="s">
        <v>109</v>
      </c>
      <c r="E23" s="12" t="s">
        <v>155</v>
      </c>
      <c r="F23" s="33" t="n">
        <v>0</v>
      </c>
      <c r="G23" s="34" t="n">
        <v>1.5</v>
      </c>
      <c r="H23" s="33" t="s">
        <v>89</v>
      </c>
      <c r="I23" s="12" t="s">
        <v>156</v>
      </c>
    </row>
    <row r="24" customFormat="false" ht="15" hidden="false" customHeight="true" outlineLevel="0" collapsed="false">
      <c r="A24" s="31"/>
      <c r="B24" s="32" t="s">
        <v>157</v>
      </c>
      <c r="C24" s="12" t="s">
        <v>158</v>
      </c>
      <c r="D24" s="33" t="s">
        <v>161</v>
      </c>
      <c r="E24" s="12" t="s">
        <v>162</v>
      </c>
      <c r="F24" s="33" t="n">
        <v>1</v>
      </c>
      <c r="G24" s="34" t="n">
        <v>2</v>
      </c>
      <c r="H24" s="33" t="s">
        <v>73</v>
      </c>
      <c r="I24" s="12" t="s">
        <v>163</v>
      </c>
    </row>
    <row r="25" customFormat="false" ht="15" hidden="false" customHeight="true" outlineLevel="0" collapsed="false">
      <c r="A25" s="31"/>
      <c r="B25" s="32" t="s">
        <v>164</v>
      </c>
      <c r="C25" s="12" t="s">
        <v>165</v>
      </c>
      <c r="D25" s="33" t="s">
        <v>87</v>
      </c>
      <c r="E25" s="12" t="s">
        <v>167</v>
      </c>
      <c r="F25" s="33" t="n">
        <v>1</v>
      </c>
      <c r="G25" s="34" t="n">
        <v>2</v>
      </c>
      <c r="H25" s="33" t="s">
        <v>73</v>
      </c>
      <c r="I25" s="12" t="s">
        <v>166</v>
      </c>
    </row>
    <row r="26" customFormat="false" ht="15" hidden="false" customHeight="true" outlineLevel="0" collapsed="false">
      <c r="A26" s="31"/>
      <c r="B26" s="32" t="s">
        <v>168</v>
      </c>
      <c r="C26" s="12" t="s">
        <v>169</v>
      </c>
      <c r="D26" s="33" t="s">
        <v>172</v>
      </c>
      <c r="E26" s="12" t="s">
        <v>173</v>
      </c>
      <c r="F26" s="33" t="n">
        <v>1</v>
      </c>
      <c r="G26" s="34" t="n">
        <v>2</v>
      </c>
      <c r="H26" s="33" t="s">
        <v>73</v>
      </c>
      <c r="I26" s="12" t="s">
        <v>171</v>
      </c>
    </row>
    <row r="27" customFormat="false" ht="15" hidden="false" customHeight="true" outlineLevel="0" collapsed="false">
      <c r="C27" s="36" t="s">
        <v>571</v>
      </c>
      <c r="G27" s="37" t="n">
        <f aca="false">SUM(G15:G26)</f>
        <v>15.5</v>
      </c>
    </row>
    <row r="29" customFormat="false" ht="15" hidden="false" customHeight="true" outlineLevel="0" collapsed="false">
      <c r="A29" s="29" t="s">
        <v>573</v>
      </c>
      <c r="B29" s="30"/>
      <c r="C29" s="30"/>
      <c r="D29" s="30"/>
      <c r="E29" s="30"/>
      <c r="F29" s="30"/>
      <c r="G29" s="30"/>
      <c r="H29" s="30"/>
      <c r="I29" s="30"/>
    </row>
    <row r="30" customFormat="false" ht="15" hidden="false" customHeight="true" outlineLevel="0" collapsed="false">
      <c r="A30" s="31"/>
      <c r="B30" s="32" t="s">
        <v>174</v>
      </c>
      <c r="C30" s="12" t="s">
        <v>175</v>
      </c>
      <c r="D30" s="33" t="s">
        <v>178</v>
      </c>
      <c r="E30" s="12" t="s">
        <v>179</v>
      </c>
      <c r="F30" s="33" t="n">
        <v>2</v>
      </c>
      <c r="G30" s="34" t="n">
        <v>2</v>
      </c>
      <c r="H30" s="33" t="s">
        <v>73</v>
      </c>
      <c r="I30" s="12" t="s">
        <v>180</v>
      </c>
    </row>
    <row r="31" customFormat="false" ht="15" hidden="false" customHeight="true" outlineLevel="0" collapsed="false">
      <c r="A31" s="31"/>
      <c r="B31" s="32" t="s">
        <v>181</v>
      </c>
      <c r="C31" s="12" t="s">
        <v>182</v>
      </c>
      <c r="D31" s="33" t="s">
        <v>95</v>
      </c>
      <c r="E31" s="12" t="s">
        <v>185</v>
      </c>
      <c r="F31" s="33" t="n">
        <v>0</v>
      </c>
      <c r="G31" s="34" t="n">
        <v>1</v>
      </c>
      <c r="H31" s="33" t="s">
        <v>89</v>
      </c>
      <c r="I31" s="12" t="s">
        <v>184</v>
      </c>
    </row>
    <row r="32" customFormat="false" ht="15" hidden="false" customHeight="true" outlineLevel="0" collapsed="false">
      <c r="A32" s="31"/>
      <c r="B32" s="32" t="s">
        <v>186</v>
      </c>
      <c r="C32" s="12" t="s">
        <v>187</v>
      </c>
      <c r="D32" s="33" t="s">
        <v>95</v>
      </c>
      <c r="E32" s="12" t="s">
        <v>190</v>
      </c>
      <c r="F32" s="33" t="n">
        <v>0</v>
      </c>
      <c r="G32" s="34" t="n">
        <v>1</v>
      </c>
      <c r="H32" s="33" t="s">
        <v>89</v>
      </c>
      <c r="I32" s="12" t="s">
        <v>189</v>
      </c>
    </row>
    <row r="33" customFormat="false" ht="15" hidden="false" customHeight="true" outlineLevel="0" collapsed="false">
      <c r="A33" s="31"/>
      <c r="B33" s="32" t="s">
        <v>191</v>
      </c>
      <c r="C33" s="12" t="s">
        <v>192</v>
      </c>
      <c r="D33" s="33" t="s">
        <v>109</v>
      </c>
      <c r="E33" s="12" t="s">
        <v>190</v>
      </c>
      <c r="F33" s="33" t="n">
        <v>0</v>
      </c>
      <c r="G33" s="34" t="n">
        <v>1.5</v>
      </c>
      <c r="H33" s="33" t="s">
        <v>73</v>
      </c>
      <c r="I33" s="12" t="s">
        <v>194</v>
      </c>
    </row>
    <row r="34" customFormat="false" ht="15" hidden="false" customHeight="true" outlineLevel="0" collapsed="false">
      <c r="A34" s="31"/>
      <c r="B34" s="32" t="s">
        <v>195</v>
      </c>
      <c r="C34" s="12" t="s">
        <v>196</v>
      </c>
      <c r="D34" s="33" t="s">
        <v>115</v>
      </c>
      <c r="E34" s="12" t="s">
        <v>96</v>
      </c>
      <c r="F34" s="33" t="n">
        <v>0</v>
      </c>
      <c r="G34" s="34" t="n">
        <v>1</v>
      </c>
      <c r="H34" s="33" t="s">
        <v>89</v>
      </c>
      <c r="I34" s="12" t="s">
        <v>197</v>
      </c>
    </row>
    <row r="35" customFormat="false" ht="15" hidden="false" customHeight="true" outlineLevel="0" collapsed="false">
      <c r="A35" s="31"/>
      <c r="B35" s="32" t="s">
        <v>198</v>
      </c>
      <c r="C35" s="12" t="s">
        <v>199</v>
      </c>
      <c r="D35" s="33" t="s">
        <v>144</v>
      </c>
      <c r="E35" s="12" t="s">
        <v>96</v>
      </c>
      <c r="F35" s="33" t="n">
        <v>0</v>
      </c>
      <c r="G35" s="34" t="n">
        <v>0.5</v>
      </c>
      <c r="H35" s="33" t="s">
        <v>89</v>
      </c>
      <c r="I35" s="12" t="s">
        <v>200</v>
      </c>
    </row>
    <row r="36" customFormat="false" ht="15" hidden="false" customHeight="true" outlineLevel="0" collapsed="false">
      <c r="A36" s="31"/>
      <c r="B36" s="32" t="s">
        <v>201</v>
      </c>
      <c r="C36" s="12" t="s">
        <v>202</v>
      </c>
      <c r="D36" s="33" t="s">
        <v>144</v>
      </c>
      <c r="E36" s="12" t="s">
        <v>96</v>
      </c>
      <c r="F36" s="33" t="n">
        <v>0</v>
      </c>
      <c r="G36" s="34" t="n">
        <v>0.5</v>
      </c>
      <c r="H36" s="33" t="s">
        <v>89</v>
      </c>
      <c r="I36" s="12" t="s">
        <v>204</v>
      </c>
    </row>
    <row r="37" customFormat="false" ht="15" hidden="false" customHeight="true" outlineLevel="0" collapsed="false">
      <c r="A37" s="31"/>
      <c r="B37" s="32" t="s">
        <v>205</v>
      </c>
      <c r="C37" s="12" t="s">
        <v>206</v>
      </c>
      <c r="D37" s="33" t="s">
        <v>209</v>
      </c>
      <c r="E37" s="12" t="s">
        <v>210</v>
      </c>
      <c r="F37" s="33" t="n">
        <v>0</v>
      </c>
      <c r="G37" s="34" t="n">
        <v>0.25</v>
      </c>
      <c r="H37" s="33" t="s">
        <v>89</v>
      </c>
      <c r="I37" s="12" t="s">
        <v>208</v>
      </c>
    </row>
    <row r="38" customFormat="false" ht="15" hidden="false" customHeight="true" outlineLevel="0" collapsed="false">
      <c r="A38" s="31"/>
      <c r="B38" s="32" t="s">
        <v>211</v>
      </c>
      <c r="C38" s="12" t="s">
        <v>212</v>
      </c>
      <c r="D38" s="33" t="s">
        <v>87</v>
      </c>
      <c r="E38" s="12" t="s">
        <v>123</v>
      </c>
      <c r="F38" s="33" t="n">
        <v>1</v>
      </c>
      <c r="G38" s="34" t="n">
        <v>2</v>
      </c>
      <c r="H38" s="33" t="s">
        <v>73</v>
      </c>
      <c r="I38" s="12" t="s">
        <v>215</v>
      </c>
    </row>
    <row r="39" customFormat="false" ht="15" hidden="false" customHeight="true" outlineLevel="0" collapsed="false">
      <c r="A39" s="31"/>
      <c r="B39" s="32" t="s">
        <v>216</v>
      </c>
      <c r="C39" s="12" t="s">
        <v>217</v>
      </c>
      <c r="D39" s="33" t="s">
        <v>109</v>
      </c>
      <c r="E39" s="12" t="s">
        <v>220</v>
      </c>
      <c r="F39" s="33" t="n">
        <v>1</v>
      </c>
      <c r="G39" s="34" t="n">
        <v>1.5</v>
      </c>
      <c r="H39" s="33" t="s">
        <v>73</v>
      </c>
      <c r="I39" s="12" t="s">
        <v>219</v>
      </c>
    </row>
    <row r="40" customFormat="false" ht="15" hidden="false" customHeight="true" outlineLevel="0" collapsed="false">
      <c r="A40" s="31"/>
      <c r="B40" s="32" t="s">
        <v>221</v>
      </c>
      <c r="C40" s="12" t="s">
        <v>222</v>
      </c>
      <c r="D40" s="33" t="s">
        <v>161</v>
      </c>
      <c r="E40" s="12" t="s">
        <v>224</v>
      </c>
      <c r="F40" s="33" t="n">
        <v>1</v>
      </c>
      <c r="G40" s="34" t="n">
        <v>2</v>
      </c>
      <c r="H40" s="33" t="s">
        <v>73</v>
      </c>
      <c r="I40" s="12" t="s">
        <v>225</v>
      </c>
    </row>
    <row r="41" customFormat="false" ht="15" hidden="false" customHeight="true" outlineLevel="0" collapsed="false">
      <c r="A41" s="31"/>
      <c r="B41" s="32" t="s">
        <v>226</v>
      </c>
      <c r="C41" s="12" t="s">
        <v>227</v>
      </c>
      <c r="D41" s="33" t="s">
        <v>144</v>
      </c>
      <c r="E41" s="12" t="s">
        <v>96</v>
      </c>
      <c r="F41" s="33" t="n">
        <v>1</v>
      </c>
      <c r="G41" s="34" t="n">
        <v>0.75</v>
      </c>
      <c r="H41" s="33" t="s">
        <v>89</v>
      </c>
      <c r="I41" s="12" t="s">
        <v>229</v>
      </c>
    </row>
    <row r="42" customFormat="false" ht="15" hidden="false" customHeight="true" outlineLevel="0" collapsed="false">
      <c r="A42" s="31"/>
      <c r="B42" s="32" t="s">
        <v>230</v>
      </c>
      <c r="C42" s="12" t="s">
        <v>231</v>
      </c>
      <c r="D42" s="33" t="s">
        <v>172</v>
      </c>
      <c r="E42" s="12" t="s">
        <v>123</v>
      </c>
      <c r="F42" s="33" t="n">
        <v>0</v>
      </c>
      <c r="G42" s="34" t="n">
        <v>1.5</v>
      </c>
      <c r="H42" s="33" t="s">
        <v>73</v>
      </c>
      <c r="I42" s="12" t="s">
        <v>232</v>
      </c>
    </row>
    <row r="43" customFormat="false" ht="15" hidden="false" customHeight="true" outlineLevel="0" collapsed="false">
      <c r="A43" s="31"/>
      <c r="B43" s="32" t="s">
        <v>233</v>
      </c>
      <c r="C43" s="12" t="s">
        <v>234</v>
      </c>
      <c r="D43" s="33" t="s">
        <v>144</v>
      </c>
      <c r="E43" s="12" t="s">
        <v>96</v>
      </c>
      <c r="F43" s="33" t="n">
        <v>0</v>
      </c>
      <c r="G43" s="34" t="n">
        <v>0.5</v>
      </c>
      <c r="H43" s="33" t="s">
        <v>89</v>
      </c>
      <c r="I43" s="12" t="s">
        <v>235</v>
      </c>
    </row>
    <row r="44" customFormat="false" ht="15" hidden="false" customHeight="true" outlineLevel="0" collapsed="false">
      <c r="A44" s="31"/>
      <c r="B44" s="32" t="s">
        <v>242</v>
      </c>
      <c r="C44" s="12" t="s">
        <v>243</v>
      </c>
      <c r="D44" s="33" t="s">
        <v>144</v>
      </c>
      <c r="E44" s="12" t="s">
        <v>246</v>
      </c>
      <c r="F44" s="33" t="n">
        <v>0</v>
      </c>
      <c r="G44" s="34" t="n">
        <v>0.75</v>
      </c>
      <c r="H44" s="33" t="s">
        <v>89</v>
      </c>
      <c r="I44" s="12" t="s">
        <v>247</v>
      </c>
    </row>
    <row r="45" customFormat="false" ht="15" hidden="false" customHeight="true" outlineLevel="0" collapsed="false">
      <c r="A45" s="31"/>
      <c r="B45" s="32" t="s">
        <v>248</v>
      </c>
      <c r="C45" s="12" t="s">
        <v>249</v>
      </c>
      <c r="D45" s="33" t="s">
        <v>144</v>
      </c>
      <c r="E45" s="12" t="s">
        <v>252</v>
      </c>
      <c r="F45" s="33" t="n">
        <v>0</v>
      </c>
      <c r="G45" s="34" t="n">
        <v>0.5</v>
      </c>
      <c r="H45" s="33" t="s">
        <v>89</v>
      </c>
      <c r="I45" s="12" t="s">
        <v>251</v>
      </c>
    </row>
    <row r="46" customFormat="false" ht="15" hidden="false" customHeight="true" outlineLevel="0" collapsed="false">
      <c r="A46" s="31"/>
      <c r="B46" s="32" t="s">
        <v>253</v>
      </c>
      <c r="C46" s="12" t="s">
        <v>254</v>
      </c>
      <c r="D46" s="33" t="s">
        <v>144</v>
      </c>
      <c r="E46" s="12" t="s">
        <v>256</v>
      </c>
      <c r="F46" s="33" t="n">
        <v>0</v>
      </c>
      <c r="G46" s="34" t="n">
        <v>0.5</v>
      </c>
      <c r="H46" s="33" t="s">
        <v>89</v>
      </c>
      <c r="I46" s="12" t="s">
        <v>255</v>
      </c>
    </row>
    <row r="47" customFormat="false" ht="15" hidden="false" customHeight="true" outlineLevel="0" collapsed="false">
      <c r="A47" s="31"/>
      <c r="B47" s="32" t="s">
        <v>257</v>
      </c>
      <c r="C47" s="12" t="s">
        <v>258</v>
      </c>
      <c r="D47" s="33" t="s">
        <v>144</v>
      </c>
      <c r="E47" s="12" t="s">
        <v>246</v>
      </c>
      <c r="F47" s="33" t="n">
        <v>0</v>
      </c>
      <c r="G47" s="34" t="n">
        <v>0.75</v>
      </c>
      <c r="H47" s="33" t="s">
        <v>89</v>
      </c>
      <c r="I47" s="12" t="s">
        <v>260</v>
      </c>
    </row>
    <row r="48" customFormat="false" ht="15" hidden="false" customHeight="true" outlineLevel="0" collapsed="false">
      <c r="A48" s="31"/>
      <c r="B48" s="32" t="s">
        <v>261</v>
      </c>
      <c r="C48" s="12" t="s">
        <v>262</v>
      </c>
      <c r="D48" s="33" t="s">
        <v>95</v>
      </c>
      <c r="E48" s="12" t="s">
        <v>265</v>
      </c>
      <c r="F48" s="33" t="n">
        <v>1</v>
      </c>
      <c r="G48" s="34" t="n">
        <v>1</v>
      </c>
      <c r="H48" s="33" t="s">
        <v>89</v>
      </c>
      <c r="I48" s="12" t="s">
        <v>264</v>
      </c>
    </row>
    <row r="49" customFormat="false" ht="15" hidden="false" customHeight="true" outlineLevel="0" collapsed="false">
      <c r="A49" s="31"/>
      <c r="B49" s="32" t="s">
        <v>266</v>
      </c>
      <c r="C49" s="12" t="s">
        <v>267</v>
      </c>
      <c r="D49" s="33" t="s">
        <v>128</v>
      </c>
      <c r="E49" s="12" t="s">
        <v>256</v>
      </c>
      <c r="F49" s="33" t="n">
        <v>0</v>
      </c>
      <c r="G49" s="34" t="n">
        <v>0.5</v>
      </c>
      <c r="H49" s="33" t="s">
        <v>89</v>
      </c>
      <c r="I49" s="12" t="s">
        <v>270</v>
      </c>
    </row>
    <row r="50" customFormat="false" ht="15" hidden="false" customHeight="true" outlineLevel="0" collapsed="false">
      <c r="A50" s="31"/>
      <c r="B50" s="32" t="s">
        <v>271</v>
      </c>
      <c r="C50" s="12" t="s">
        <v>272</v>
      </c>
      <c r="D50" s="33" t="s">
        <v>128</v>
      </c>
      <c r="E50" s="12" t="s">
        <v>256</v>
      </c>
      <c r="F50" s="33" t="n">
        <v>1</v>
      </c>
      <c r="G50" s="34" t="n">
        <v>0.5</v>
      </c>
      <c r="H50" s="33" t="s">
        <v>89</v>
      </c>
      <c r="I50" s="12" t="s">
        <v>274</v>
      </c>
    </row>
    <row r="51" customFormat="false" ht="15" hidden="false" customHeight="true" outlineLevel="0" collapsed="false">
      <c r="C51" s="36" t="s">
        <v>571</v>
      </c>
      <c r="G51" s="37" t="n">
        <f aca="false">SUM(G30:G50)</f>
        <v>20.5</v>
      </c>
    </row>
    <row r="53" customFormat="false" ht="15" hidden="false" customHeight="true" outlineLevel="0" collapsed="false">
      <c r="A53" s="29" t="s">
        <v>574</v>
      </c>
      <c r="B53" s="30"/>
      <c r="C53" s="30"/>
      <c r="D53" s="30"/>
      <c r="E53" s="30"/>
      <c r="F53" s="30"/>
      <c r="G53" s="30"/>
      <c r="H53" s="30"/>
      <c r="I53" s="30"/>
    </row>
    <row r="54" customFormat="false" ht="21.75" hidden="false" customHeight="true" outlineLevel="0" collapsed="false">
      <c r="A54" s="31"/>
      <c r="B54" s="32" t="s">
        <v>275</v>
      </c>
      <c r="C54" s="12" t="s">
        <v>276</v>
      </c>
      <c r="D54" s="33" t="s">
        <v>280</v>
      </c>
      <c r="E54" s="12" t="s">
        <v>281</v>
      </c>
      <c r="F54" s="33" t="n">
        <v>0</v>
      </c>
      <c r="G54" s="34" t="n">
        <v>1.5</v>
      </c>
      <c r="H54" s="33" t="s">
        <v>73</v>
      </c>
      <c r="I54" s="12" t="s">
        <v>282</v>
      </c>
    </row>
    <row r="55" customFormat="false" ht="21.75" hidden="false" customHeight="true" outlineLevel="0" collapsed="false">
      <c r="A55" s="31"/>
      <c r="B55" s="32" t="s">
        <v>283</v>
      </c>
      <c r="C55" s="12" t="s">
        <v>284</v>
      </c>
      <c r="D55" s="33" t="s">
        <v>102</v>
      </c>
      <c r="E55" s="12" t="s">
        <v>287</v>
      </c>
      <c r="F55" s="33" t="n">
        <v>0</v>
      </c>
      <c r="G55" s="34" t="n">
        <v>1.5</v>
      </c>
      <c r="H55" s="33" t="s">
        <v>73</v>
      </c>
      <c r="I55" s="12" t="s">
        <v>288</v>
      </c>
    </row>
    <row r="56" customFormat="false" ht="21.75" hidden="false" customHeight="true" outlineLevel="0" collapsed="false">
      <c r="A56" s="31"/>
      <c r="B56" s="32" t="s">
        <v>289</v>
      </c>
      <c r="C56" s="12" t="s">
        <v>290</v>
      </c>
      <c r="D56" s="33" t="s">
        <v>109</v>
      </c>
      <c r="E56" s="12" t="s">
        <v>293</v>
      </c>
      <c r="F56" s="33" t="n">
        <v>0</v>
      </c>
      <c r="G56" s="34" t="n">
        <v>1.5</v>
      </c>
      <c r="H56" s="33" t="s">
        <v>73</v>
      </c>
      <c r="I56" s="12" t="s">
        <v>292</v>
      </c>
    </row>
    <row r="57" customFormat="false" ht="15" hidden="false" customHeight="true" outlineLevel="0" collapsed="false">
      <c r="A57" s="31"/>
      <c r="B57" s="32" t="s">
        <v>294</v>
      </c>
      <c r="C57" s="12" t="s">
        <v>295</v>
      </c>
      <c r="D57" s="33" t="s">
        <v>161</v>
      </c>
      <c r="E57" s="12" t="s">
        <v>298</v>
      </c>
      <c r="F57" s="33" t="n">
        <v>0</v>
      </c>
      <c r="G57" s="34" t="n">
        <v>0.75</v>
      </c>
      <c r="H57" s="33" t="s">
        <v>89</v>
      </c>
      <c r="I57" s="12" t="s">
        <v>297</v>
      </c>
    </row>
    <row r="58" customFormat="false" ht="15" hidden="false" customHeight="true" outlineLevel="0" collapsed="false">
      <c r="A58" s="31"/>
      <c r="B58" s="32" t="s">
        <v>299</v>
      </c>
      <c r="C58" s="12" t="s">
        <v>300</v>
      </c>
      <c r="D58" s="33" t="s">
        <v>128</v>
      </c>
      <c r="E58" s="12" t="s">
        <v>303</v>
      </c>
      <c r="F58" s="33" t="n">
        <v>1</v>
      </c>
      <c r="G58" s="34" t="n">
        <v>0.5</v>
      </c>
      <c r="H58" s="33" t="s">
        <v>89</v>
      </c>
      <c r="I58" s="12" t="s">
        <v>304</v>
      </c>
    </row>
    <row r="59" customFormat="false" ht="21.75" hidden="false" customHeight="true" outlineLevel="0" collapsed="false">
      <c r="A59" s="31"/>
      <c r="B59" s="32" t="s">
        <v>305</v>
      </c>
      <c r="C59" s="12" t="s">
        <v>306</v>
      </c>
      <c r="D59" s="33" t="s">
        <v>308</v>
      </c>
      <c r="E59" s="12" t="s">
        <v>309</v>
      </c>
      <c r="F59" s="33" t="n">
        <v>5</v>
      </c>
      <c r="G59" s="34" t="n">
        <v>3</v>
      </c>
      <c r="H59" s="35" t="s">
        <v>81</v>
      </c>
      <c r="I59" s="12" t="s">
        <v>310</v>
      </c>
    </row>
    <row r="60" customFormat="false" ht="15" hidden="false" customHeight="true" outlineLevel="0" collapsed="false">
      <c r="A60" s="31"/>
      <c r="B60" s="32" t="s">
        <v>311</v>
      </c>
      <c r="C60" s="12" t="s">
        <v>312</v>
      </c>
      <c r="D60" s="33" t="s">
        <v>308</v>
      </c>
      <c r="E60" s="12" t="s">
        <v>314</v>
      </c>
      <c r="F60" s="33" t="n">
        <v>2</v>
      </c>
      <c r="G60" s="34" t="n">
        <v>2</v>
      </c>
      <c r="H60" s="33" t="s">
        <v>73</v>
      </c>
      <c r="I60" s="12" t="s">
        <v>315</v>
      </c>
    </row>
    <row r="61" customFormat="false" ht="15" hidden="false" customHeight="true" outlineLevel="0" collapsed="false">
      <c r="A61" s="31"/>
      <c r="B61" s="32" t="s">
        <v>316</v>
      </c>
      <c r="C61" s="12" t="s">
        <v>317</v>
      </c>
      <c r="D61" s="33" t="s">
        <v>308</v>
      </c>
      <c r="E61" s="12" t="s">
        <v>320</v>
      </c>
      <c r="F61" s="33" t="n">
        <v>1</v>
      </c>
      <c r="G61" s="34" t="n">
        <v>1</v>
      </c>
      <c r="H61" s="33" t="s">
        <v>89</v>
      </c>
      <c r="I61" s="12" t="s">
        <v>319</v>
      </c>
    </row>
    <row r="62" customFormat="false" ht="15" hidden="false" customHeight="true" outlineLevel="0" collapsed="false">
      <c r="A62" s="31"/>
      <c r="B62" s="32" t="s">
        <v>321</v>
      </c>
      <c r="C62" s="12" t="s">
        <v>322</v>
      </c>
      <c r="D62" s="33" t="s">
        <v>308</v>
      </c>
      <c r="E62" s="12" t="s">
        <v>314</v>
      </c>
      <c r="F62" s="33" t="n">
        <v>1</v>
      </c>
      <c r="G62" s="34" t="n">
        <v>1</v>
      </c>
      <c r="H62" s="33" t="s">
        <v>89</v>
      </c>
      <c r="I62" s="12" t="s">
        <v>324</v>
      </c>
    </row>
    <row r="63" customFormat="false" ht="15" hidden="false" customHeight="true" outlineLevel="0" collapsed="false">
      <c r="C63" s="36" t="s">
        <v>571</v>
      </c>
      <c r="G63" s="37" t="n">
        <f aca="false">SUM(G54:G62)</f>
        <v>12.75</v>
      </c>
    </row>
    <row r="65" customFormat="false" ht="15" hidden="false" customHeight="true" outlineLevel="0" collapsed="false">
      <c r="A65" s="29" t="s">
        <v>575</v>
      </c>
      <c r="B65" s="30"/>
      <c r="C65" s="30"/>
      <c r="D65" s="30"/>
      <c r="E65" s="30"/>
      <c r="F65" s="30"/>
      <c r="G65" s="30"/>
      <c r="H65" s="30"/>
      <c r="I65" s="30"/>
    </row>
    <row r="66" customFormat="false" ht="15" hidden="false" customHeight="true" outlineLevel="0" collapsed="false">
      <c r="A66" s="31"/>
      <c r="B66" s="32" t="s">
        <v>325</v>
      </c>
      <c r="C66" s="12" t="s">
        <v>326</v>
      </c>
      <c r="D66" s="33" t="s">
        <v>308</v>
      </c>
      <c r="E66" s="12" t="s">
        <v>308</v>
      </c>
      <c r="F66" s="33" t="n">
        <v>1</v>
      </c>
      <c r="G66" s="34" t="n">
        <v>1</v>
      </c>
      <c r="H66" s="33" t="s">
        <v>89</v>
      </c>
      <c r="I66" s="12" t="s">
        <v>328</v>
      </c>
    </row>
    <row r="67" customFormat="false" ht="21.75" hidden="false" customHeight="true" outlineLevel="0" collapsed="false">
      <c r="A67" s="31"/>
      <c r="B67" s="32" t="s">
        <v>329</v>
      </c>
      <c r="C67" s="12" t="s">
        <v>330</v>
      </c>
      <c r="D67" s="33" t="s">
        <v>308</v>
      </c>
      <c r="E67" s="12" t="s">
        <v>308</v>
      </c>
      <c r="F67" s="33" t="n">
        <v>1</v>
      </c>
      <c r="G67" s="34" t="n">
        <v>1.5</v>
      </c>
      <c r="H67" s="33" t="s">
        <v>73</v>
      </c>
      <c r="I67" s="12" t="s">
        <v>332</v>
      </c>
    </row>
    <row r="68" customFormat="false" ht="15" hidden="false" customHeight="true" outlineLevel="0" collapsed="false">
      <c r="A68" s="31"/>
      <c r="B68" s="32" t="s">
        <v>333</v>
      </c>
      <c r="C68" s="12" t="s">
        <v>334</v>
      </c>
      <c r="D68" s="33" t="s">
        <v>308</v>
      </c>
      <c r="E68" s="12" t="s">
        <v>308</v>
      </c>
      <c r="F68" s="33" t="n">
        <v>1</v>
      </c>
      <c r="G68" s="34" t="n">
        <v>1</v>
      </c>
      <c r="H68" s="33" t="s">
        <v>89</v>
      </c>
      <c r="I68" s="12" t="s">
        <v>336</v>
      </c>
    </row>
    <row r="69" customFormat="false" ht="15" hidden="false" customHeight="true" outlineLevel="0" collapsed="false">
      <c r="A69" s="31"/>
      <c r="B69" s="32" t="s">
        <v>337</v>
      </c>
      <c r="C69" s="12" t="s">
        <v>338</v>
      </c>
      <c r="D69" s="33" t="s">
        <v>308</v>
      </c>
      <c r="E69" s="12" t="s">
        <v>308</v>
      </c>
      <c r="F69" s="33" t="n">
        <v>1</v>
      </c>
      <c r="G69" s="34" t="n">
        <v>0.75</v>
      </c>
      <c r="H69" s="33" t="s">
        <v>89</v>
      </c>
      <c r="I69" s="12" t="s">
        <v>339</v>
      </c>
    </row>
    <row r="70" customFormat="false" ht="15" hidden="false" customHeight="true" outlineLevel="0" collapsed="false">
      <c r="A70" s="31"/>
      <c r="B70" s="32" t="s">
        <v>340</v>
      </c>
      <c r="C70" s="12" t="s">
        <v>341</v>
      </c>
      <c r="D70" s="33" t="s">
        <v>308</v>
      </c>
      <c r="E70" s="12" t="s">
        <v>308</v>
      </c>
      <c r="F70" s="33" t="n">
        <v>1</v>
      </c>
      <c r="G70" s="34" t="n">
        <v>0.5</v>
      </c>
      <c r="H70" s="33" t="s">
        <v>89</v>
      </c>
      <c r="I70" s="12" t="s">
        <v>343</v>
      </c>
    </row>
    <row r="71" customFormat="false" ht="15" hidden="false" customHeight="true" outlineLevel="0" collapsed="false">
      <c r="A71" s="31"/>
      <c r="B71" s="32" t="s">
        <v>344</v>
      </c>
      <c r="C71" s="12" t="s">
        <v>345</v>
      </c>
      <c r="D71" s="33" t="s">
        <v>308</v>
      </c>
      <c r="E71" s="12" t="s">
        <v>308</v>
      </c>
      <c r="F71" s="33" t="n">
        <v>2</v>
      </c>
      <c r="G71" s="34" t="n">
        <v>1</v>
      </c>
      <c r="H71" s="33" t="s">
        <v>89</v>
      </c>
      <c r="I71" s="12" t="s">
        <v>346</v>
      </c>
    </row>
    <row r="72" customFormat="false" ht="15" hidden="false" customHeight="true" outlineLevel="0" collapsed="false">
      <c r="A72" s="31"/>
      <c r="B72" s="32" t="s">
        <v>347</v>
      </c>
      <c r="C72" s="12" t="s">
        <v>348</v>
      </c>
      <c r="D72" s="33" t="s">
        <v>308</v>
      </c>
      <c r="E72" s="12" t="s">
        <v>308</v>
      </c>
      <c r="F72" s="33" t="n">
        <v>1</v>
      </c>
      <c r="G72" s="34" t="n">
        <v>1.5</v>
      </c>
      <c r="H72" s="33" t="s">
        <v>73</v>
      </c>
      <c r="I72" s="12" t="s">
        <v>350</v>
      </c>
    </row>
    <row r="73" customFormat="false" ht="15" hidden="false" customHeight="true" outlineLevel="0" collapsed="false">
      <c r="A73" s="31"/>
      <c r="B73" s="32" t="s">
        <v>351</v>
      </c>
      <c r="C73" s="12" t="s">
        <v>352</v>
      </c>
      <c r="D73" s="33" t="s">
        <v>308</v>
      </c>
      <c r="E73" s="12" t="s">
        <v>308</v>
      </c>
      <c r="F73" s="33" t="n">
        <v>1</v>
      </c>
      <c r="G73" s="34" t="n">
        <v>1.5</v>
      </c>
      <c r="H73" s="33" t="s">
        <v>73</v>
      </c>
      <c r="I73" s="12" t="s">
        <v>353</v>
      </c>
    </row>
    <row r="74" customFormat="false" ht="15" hidden="false" customHeight="true" outlineLevel="0" collapsed="false">
      <c r="A74" s="31"/>
      <c r="B74" s="32" t="s">
        <v>354</v>
      </c>
      <c r="C74" s="12" t="s">
        <v>355</v>
      </c>
      <c r="D74" s="33" t="s">
        <v>308</v>
      </c>
      <c r="E74" s="12" t="s">
        <v>308</v>
      </c>
      <c r="F74" s="33" t="n">
        <v>1</v>
      </c>
      <c r="G74" s="34" t="n">
        <v>1.5</v>
      </c>
      <c r="H74" s="35" t="s">
        <v>81</v>
      </c>
      <c r="I74" s="12" t="s">
        <v>357</v>
      </c>
    </row>
    <row r="75" customFormat="false" ht="15" hidden="false" customHeight="true" outlineLevel="0" collapsed="false">
      <c r="A75" s="31"/>
      <c r="B75" s="32" t="s">
        <v>358</v>
      </c>
      <c r="C75" s="12" t="s">
        <v>359</v>
      </c>
      <c r="D75" s="33" t="s">
        <v>308</v>
      </c>
      <c r="E75" s="12" t="s">
        <v>308</v>
      </c>
      <c r="F75" s="33" t="n">
        <v>1</v>
      </c>
      <c r="G75" s="34" t="n">
        <v>1.5</v>
      </c>
      <c r="H75" s="33" t="s">
        <v>73</v>
      </c>
      <c r="I75" s="12" t="s">
        <v>360</v>
      </c>
    </row>
    <row r="76" customFormat="false" ht="15" hidden="false" customHeight="true" outlineLevel="0" collapsed="false">
      <c r="A76" s="31"/>
      <c r="B76" s="32" t="s">
        <v>361</v>
      </c>
      <c r="C76" s="12" t="s">
        <v>362</v>
      </c>
      <c r="D76" s="33" t="s">
        <v>308</v>
      </c>
      <c r="E76" s="12" t="s">
        <v>308</v>
      </c>
      <c r="F76" s="33" t="n">
        <v>1</v>
      </c>
      <c r="G76" s="34" t="n">
        <v>1</v>
      </c>
      <c r="H76" s="33" t="s">
        <v>73</v>
      </c>
      <c r="I76" s="12" t="s">
        <v>364</v>
      </c>
    </row>
    <row r="77" customFormat="false" ht="15" hidden="false" customHeight="true" outlineLevel="0" collapsed="false">
      <c r="A77" s="31"/>
      <c r="B77" s="32" t="s">
        <v>365</v>
      </c>
      <c r="C77" s="12" t="s">
        <v>366</v>
      </c>
      <c r="D77" s="33" t="s">
        <v>308</v>
      </c>
      <c r="E77" s="12" t="s">
        <v>308</v>
      </c>
      <c r="F77" s="33" t="n">
        <v>1</v>
      </c>
      <c r="G77" s="34" t="n">
        <v>1.5</v>
      </c>
      <c r="H77" s="35" t="s">
        <v>81</v>
      </c>
      <c r="I77" s="12" t="s">
        <v>368</v>
      </c>
    </row>
    <row r="78" customFormat="false" ht="15" hidden="false" customHeight="true" outlineLevel="0" collapsed="false">
      <c r="A78" s="31"/>
      <c r="B78" s="32" t="s">
        <v>369</v>
      </c>
      <c r="C78" s="12" t="s">
        <v>370</v>
      </c>
      <c r="D78" s="33" t="s">
        <v>308</v>
      </c>
      <c r="E78" s="12" t="s">
        <v>308</v>
      </c>
      <c r="F78" s="33" t="n">
        <v>1</v>
      </c>
      <c r="G78" s="34" t="n">
        <v>1.25</v>
      </c>
      <c r="H78" s="33" t="s">
        <v>73</v>
      </c>
      <c r="I78" s="12" t="s">
        <v>371</v>
      </c>
    </row>
    <row r="79" customFormat="false" ht="15" hidden="false" customHeight="true" outlineLevel="0" collapsed="false">
      <c r="A79" s="31"/>
      <c r="B79" s="32" t="s">
        <v>372</v>
      </c>
      <c r="C79" s="12" t="s">
        <v>373</v>
      </c>
      <c r="D79" s="33" t="s">
        <v>308</v>
      </c>
      <c r="E79" s="12" t="s">
        <v>308</v>
      </c>
      <c r="F79" s="33" t="n">
        <v>1</v>
      </c>
      <c r="G79" s="34" t="n">
        <v>0.75</v>
      </c>
      <c r="H79" s="33" t="s">
        <v>89</v>
      </c>
      <c r="I79" s="12" t="s">
        <v>374</v>
      </c>
    </row>
    <row r="80" customFormat="false" ht="15" hidden="false" customHeight="true" outlineLevel="0" collapsed="false">
      <c r="A80" s="31"/>
      <c r="B80" s="32" t="s">
        <v>375</v>
      </c>
      <c r="C80" s="12" t="s">
        <v>376</v>
      </c>
      <c r="D80" s="33" t="s">
        <v>308</v>
      </c>
      <c r="E80" s="12" t="s">
        <v>308</v>
      </c>
      <c r="F80" s="33" t="n">
        <v>2</v>
      </c>
      <c r="G80" s="34" t="n">
        <v>1</v>
      </c>
      <c r="H80" s="33" t="s">
        <v>73</v>
      </c>
      <c r="I80" s="12" t="s">
        <v>378</v>
      </c>
    </row>
    <row r="81" customFormat="false" ht="15" hidden="false" customHeight="true" outlineLevel="0" collapsed="false">
      <c r="A81" s="31"/>
      <c r="B81" s="32" t="s">
        <v>379</v>
      </c>
      <c r="C81" s="12" t="s">
        <v>380</v>
      </c>
      <c r="D81" s="33" t="s">
        <v>308</v>
      </c>
      <c r="E81" s="12" t="s">
        <v>308</v>
      </c>
      <c r="F81" s="33" t="n">
        <v>1</v>
      </c>
      <c r="G81" s="34" t="n">
        <v>1.5</v>
      </c>
      <c r="H81" s="33" t="s">
        <v>73</v>
      </c>
      <c r="I81" s="12" t="s">
        <v>381</v>
      </c>
    </row>
    <row r="82" customFormat="false" ht="15" hidden="false" customHeight="true" outlineLevel="0" collapsed="false">
      <c r="A82" s="31"/>
      <c r="B82" s="32" t="s">
        <v>382</v>
      </c>
      <c r="C82" s="12" t="s">
        <v>383</v>
      </c>
      <c r="D82" s="33" t="s">
        <v>308</v>
      </c>
      <c r="E82" s="12" t="s">
        <v>308</v>
      </c>
      <c r="F82" s="33" t="n">
        <v>1</v>
      </c>
      <c r="G82" s="34" t="n">
        <v>0.5</v>
      </c>
      <c r="H82" s="33" t="s">
        <v>89</v>
      </c>
      <c r="I82" s="12" t="s">
        <v>386</v>
      </c>
    </row>
    <row r="83" customFormat="false" ht="15" hidden="false" customHeight="true" outlineLevel="0" collapsed="false">
      <c r="C83" s="36" t="s">
        <v>571</v>
      </c>
      <c r="G83" s="37" t="n">
        <f aca="false">SUM(G66:G82)</f>
        <v>19.25</v>
      </c>
    </row>
    <row r="85" customFormat="false" ht="15" hidden="false" customHeight="true" outlineLevel="0" collapsed="false">
      <c r="C85" s="38" t="s">
        <v>576</v>
      </c>
      <c r="G85" s="39" t="n">
        <f aca="false">SUMIF($C$5:$C$84,"Wave subtotal",$G$5:$G$84)</f>
        <v>87.5</v>
      </c>
      <c r="I85" s="3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8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56"/>
    <col collapsed="false" customWidth="true" hidden="false" outlineLevel="0" max="6" min="6" style="1" width="26"/>
    <col collapsed="false" customWidth="true" hidden="false" outlineLevel="0" max="7" min="7" style="1" width="9"/>
    <col collapsed="false" customWidth="true" hidden="false" outlineLevel="0" max="8" min="8" style="1" width="46"/>
  </cols>
  <sheetData>
    <row r="1" customFormat="false" ht="18" hidden="false" customHeight="true" outlineLevel="0" collapsed="false">
      <c r="A1" s="2" t="s">
        <v>578</v>
      </c>
    </row>
    <row r="2" customFormat="false" ht="15" hidden="false" customHeight="true" outlineLevel="0" collapsed="false">
      <c r="A2" s="3" t="s">
        <v>579</v>
      </c>
    </row>
    <row r="4" customFormat="false" ht="33.75" hidden="false" customHeight="true" outlineLevel="0" collapsed="false">
      <c r="A4" s="8" t="s">
        <v>52</v>
      </c>
      <c r="B4" s="8" t="s">
        <v>580</v>
      </c>
      <c r="C4" s="8" t="s">
        <v>54</v>
      </c>
      <c r="D4" s="8" t="s">
        <v>56</v>
      </c>
      <c r="E4" s="8" t="s">
        <v>581</v>
      </c>
      <c r="F4" s="8" t="s">
        <v>582</v>
      </c>
      <c r="G4" s="8" t="s">
        <v>568</v>
      </c>
      <c r="H4" s="8" t="s">
        <v>583</v>
      </c>
    </row>
    <row r="5" customFormat="false" ht="21.75" hidden="false" customHeight="true" outlineLevel="0" collapsed="false">
      <c r="A5" s="40" t="s">
        <v>387</v>
      </c>
      <c r="B5" s="12" t="s">
        <v>388</v>
      </c>
      <c r="C5" s="33" t="s">
        <v>67</v>
      </c>
      <c r="D5" s="12" t="s">
        <v>126</v>
      </c>
      <c r="E5" s="12" t="s">
        <v>390</v>
      </c>
      <c r="F5" s="12" t="n">
        <v>0</v>
      </c>
      <c r="G5" s="34" t="n">
        <v>0.5</v>
      </c>
      <c r="H5" s="12" t="s">
        <v>584</v>
      </c>
    </row>
    <row r="6" customFormat="false" ht="21.75" hidden="false" customHeight="true" outlineLevel="0" collapsed="false">
      <c r="A6" s="40" t="s">
        <v>393</v>
      </c>
      <c r="B6" s="12" t="s">
        <v>394</v>
      </c>
      <c r="C6" s="33" t="s">
        <v>67</v>
      </c>
      <c r="D6" s="12" t="s">
        <v>395</v>
      </c>
      <c r="E6" s="12" t="s">
        <v>396</v>
      </c>
      <c r="F6" s="12" t="n">
        <v>0</v>
      </c>
      <c r="G6" s="34" t="n">
        <v>0.25</v>
      </c>
      <c r="H6" s="12" t="s">
        <v>584</v>
      </c>
    </row>
    <row r="7" customFormat="false" ht="21.75" hidden="false" customHeight="true" outlineLevel="0" collapsed="false">
      <c r="A7" s="40" t="s">
        <v>398</v>
      </c>
      <c r="B7" s="12" t="s">
        <v>399</v>
      </c>
      <c r="C7" s="33" t="s">
        <v>67</v>
      </c>
      <c r="D7" s="12" t="s">
        <v>327</v>
      </c>
      <c r="E7" s="12" t="s">
        <v>400</v>
      </c>
      <c r="F7" s="12" t="n">
        <v>0</v>
      </c>
      <c r="G7" s="34" t="n">
        <v>0.5</v>
      </c>
      <c r="H7" s="12" t="s">
        <v>585</v>
      </c>
    </row>
    <row r="8" customFormat="false" ht="21.75" hidden="false" customHeight="true" outlineLevel="0" collapsed="false">
      <c r="A8" s="40" t="s">
        <v>402</v>
      </c>
      <c r="B8" s="12" t="s">
        <v>403</v>
      </c>
      <c r="C8" s="33" t="s">
        <v>67</v>
      </c>
      <c r="D8" s="12" t="s">
        <v>327</v>
      </c>
      <c r="E8" s="12" t="s">
        <v>404</v>
      </c>
      <c r="F8" s="12" t="n">
        <v>0</v>
      </c>
      <c r="G8" s="34" t="n">
        <v>0.75</v>
      </c>
      <c r="H8" s="12" t="s">
        <v>586</v>
      </c>
    </row>
    <row r="9" customFormat="false" ht="21.75" hidden="false" customHeight="true" outlineLevel="0" collapsed="false">
      <c r="A9" s="40" t="s">
        <v>407</v>
      </c>
      <c r="B9" s="12" t="s">
        <v>408</v>
      </c>
      <c r="C9" s="33" t="s">
        <v>67</v>
      </c>
      <c r="D9" s="12" t="s">
        <v>327</v>
      </c>
      <c r="E9" s="12" t="s">
        <v>409</v>
      </c>
      <c r="F9" s="12" t="n">
        <v>0</v>
      </c>
      <c r="G9" s="34" t="n">
        <v>0.5</v>
      </c>
      <c r="H9" s="12" t="s">
        <v>584</v>
      </c>
    </row>
    <row r="10" customFormat="false" ht="15" hidden="false" customHeight="true" outlineLevel="0" collapsed="false">
      <c r="A10" s="40" t="s">
        <v>410</v>
      </c>
      <c r="B10" s="12" t="s">
        <v>411</v>
      </c>
      <c r="C10" s="33" t="s">
        <v>67</v>
      </c>
      <c r="D10" s="12" t="s">
        <v>327</v>
      </c>
      <c r="E10" s="12" t="s">
        <v>412</v>
      </c>
      <c r="F10" s="12" t="n">
        <v>0</v>
      </c>
      <c r="G10" s="34" t="n">
        <v>0.5</v>
      </c>
      <c r="H10" s="12" t="s">
        <v>587</v>
      </c>
    </row>
    <row r="11" customFormat="false" ht="15" hidden="false" customHeight="true" outlineLevel="0" collapsed="false">
      <c r="A11" s="40" t="s">
        <v>415</v>
      </c>
      <c r="B11" s="12" t="s">
        <v>416</v>
      </c>
      <c r="C11" s="33" t="s">
        <v>67</v>
      </c>
      <c r="D11" s="12" t="s">
        <v>335</v>
      </c>
      <c r="E11" s="12" t="s">
        <v>417</v>
      </c>
      <c r="F11" s="12" t="n">
        <v>0</v>
      </c>
      <c r="G11" s="34" t="n">
        <v>0.75</v>
      </c>
      <c r="H11" s="12" t="s">
        <v>584</v>
      </c>
    </row>
    <row r="12" customFormat="false" ht="15" hidden="false" customHeight="true" outlineLevel="0" collapsed="false">
      <c r="A12" s="40" t="s">
        <v>418</v>
      </c>
      <c r="B12" s="12" t="s">
        <v>419</v>
      </c>
      <c r="C12" s="33" t="s">
        <v>67</v>
      </c>
      <c r="D12" s="12" t="s">
        <v>335</v>
      </c>
      <c r="E12" s="12" t="s">
        <v>420</v>
      </c>
      <c r="F12" s="12" t="n">
        <v>0</v>
      </c>
      <c r="G12" s="34" t="n">
        <v>0.5</v>
      </c>
      <c r="H12" s="12" t="s">
        <v>584</v>
      </c>
    </row>
    <row r="13" customFormat="false" ht="21.75" hidden="false" customHeight="true" outlineLevel="0" collapsed="false">
      <c r="A13" s="40" t="s">
        <v>422</v>
      </c>
      <c r="B13" s="12" t="s">
        <v>423</v>
      </c>
      <c r="C13" s="33" t="s">
        <v>67</v>
      </c>
      <c r="D13" s="12" t="s">
        <v>342</v>
      </c>
      <c r="E13" s="12" t="s">
        <v>424</v>
      </c>
      <c r="F13" s="12" t="n">
        <v>0</v>
      </c>
      <c r="G13" s="34" t="n">
        <v>1</v>
      </c>
      <c r="H13" s="12" t="s">
        <v>584</v>
      </c>
    </row>
    <row r="14" customFormat="false" ht="15" hidden="false" customHeight="true" outlineLevel="0" collapsed="false">
      <c r="A14" s="40" t="s">
        <v>426</v>
      </c>
      <c r="B14" s="12" t="s">
        <v>427</v>
      </c>
      <c r="C14" s="33" t="s">
        <v>67</v>
      </c>
      <c r="D14" s="12" t="s">
        <v>342</v>
      </c>
      <c r="E14" s="12" t="s">
        <v>428</v>
      </c>
      <c r="F14" s="12" t="n">
        <v>0</v>
      </c>
      <c r="G14" s="34" t="n">
        <v>0.5</v>
      </c>
      <c r="H14" s="12" t="s">
        <v>588</v>
      </c>
    </row>
    <row r="15" customFormat="false" ht="21.75" hidden="false" customHeight="true" outlineLevel="0" collapsed="false">
      <c r="A15" s="40" t="s">
        <v>429</v>
      </c>
      <c r="B15" s="12" t="s">
        <v>430</v>
      </c>
      <c r="C15" s="33" t="s">
        <v>67</v>
      </c>
      <c r="D15" s="12" t="s">
        <v>431</v>
      </c>
      <c r="E15" s="12" t="s">
        <v>432</v>
      </c>
      <c r="F15" s="12" t="n">
        <v>0</v>
      </c>
      <c r="G15" s="34" t="n">
        <v>0.5</v>
      </c>
      <c r="H15" s="12" t="s">
        <v>589</v>
      </c>
    </row>
    <row r="16" customFormat="false" ht="21.75" hidden="false" customHeight="true" outlineLevel="0" collapsed="false">
      <c r="A16" s="40" t="s">
        <v>433</v>
      </c>
      <c r="B16" s="12" t="s">
        <v>434</v>
      </c>
      <c r="C16" s="33" t="s">
        <v>67</v>
      </c>
      <c r="D16" s="12" t="s">
        <v>435</v>
      </c>
      <c r="E16" s="12" t="s">
        <v>436</v>
      </c>
      <c r="F16" s="12" t="n">
        <v>0</v>
      </c>
      <c r="G16" s="34" t="n">
        <v>0.75</v>
      </c>
      <c r="H16" s="12" t="s">
        <v>590</v>
      </c>
    </row>
    <row r="17" customFormat="false" ht="21.75" hidden="false" customHeight="true" outlineLevel="0" collapsed="false">
      <c r="A17" s="40" t="s">
        <v>437</v>
      </c>
      <c r="B17" s="12" t="s">
        <v>438</v>
      </c>
      <c r="C17" s="33" t="s">
        <v>92</v>
      </c>
      <c r="D17" s="12" t="s">
        <v>203</v>
      </c>
      <c r="E17" s="12" t="s">
        <v>439</v>
      </c>
      <c r="F17" s="12" t="n">
        <v>0</v>
      </c>
      <c r="G17" s="34" t="n">
        <v>3.5</v>
      </c>
      <c r="H17" s="12" t="s">
        <v>591</v>
      </c>
    </row>
    <row r="18" customFormat="false" ht="15" hidden="false" customHeight="true" outlineLevel="0" collapsed="false">
      <c r="A18" s="40" t="s">
        <v>442</v>
      </c>
      <c r="B18" s="12" t="s">
        <v>443</v>
      </c>
      <c r="C18" s="33" t="s">
        <v>92</v>
      </c>
      <c r="D18" s="12" t="s">
        <v>263</v>
      </c>
      <c r="E18" s="12" t="s">
        <v>444</v>
      </c>
      <c r="F18" s="12" t="n">
        <v>0</v>
      </c>
      <c r="G18" s="34" t="n">
        <v>2</v>
      </c>
      <c r="H18" s="12" t="s">
        <v>592</v>
      </c>
    </row>
    <row r="19" customFormat="false" ht="21.75" hidden="false" customHeight="true" outlineLevel="0" collapsed="false">
      <c r="A19" s="40" t="s">
        <v>447</v>
      </c>
      <c r="B19" s="12" t="s">
        <v>448</v>
      </c>
      <c r="C19" s="33" t="s">
        <v>92</v>
      </c>
      <c r="D19" s="12" t="s">
        <v>449</v>
      </c>
      <c r="E19" s="12" t="s">
        <v>450</v>
      </c>
      <c r="F19" s="12" t="n">
        <v>0</v>
      </c>
      <c r="G19" s="34" t="n">
        <v>0.5</v>
      </c>
      <c r="H19" s="12" t="s">
        <v>584</v>
      </c>
    </row>
    <row r="20" customFormat="false" ht="21.75" hidden="false" customHeight="true" outlineLevel="0" collapsed="false">
      <c r="A20" s="40" t="s">
        <v>451</v>
      </c>
      <c r="B20" s="12" t="s">
        <v>452</v>
      </c>
      <c r="C20" s="33" t="s">
        <v>92</v>
      </c>
      <c r="D20" s="12" t="s">
        <v>453</v>
      </c>
      <c r="E20" s="12" t="s">
        <v>454</v>
      </c>
      <c r="F20" s="12" t="n">
        <v>0</v>
      </c>
      <c r="G20" s="34" t="n">
        <v>0.5</v>
      </c>
      <c r="H20" s="12" t="s">
        <v>584</v>
      </c>
    </row>
    <row r="21" customFormat="false" ht="21.75" hidden="false" customHeight="true" outlineLevel="0" collapsed="false">
      <c r="A21" s="40" t="s">
        <v>455</v>
      </c>
      <c r="B21" s="12" t="s">
        <v>456</v>
      </c>
      <c r="C21" s="33" t="s">
        <v>277</v>
      </c>
      <c r="D21" s="12" t="s">
        <v>301</v>
      </c>
      <c r="E21" s="12" t="s">
        <v>457</v>
      </c>
      <c r="F21" s="12" t="n">
        <v>0</v>
      </c>
      <c r="G21" s="34" t="n">
        <v>0.75</v>
      </c>
      <c r="H21" s="12" t="s">
        <v>593</v>
      </c>
    </row>
    <row r="22" customFormat="false" ht="15" hidden="false" customHeight="true" outlineLevel="0" collapsed="false">
      <c r="A22" s="40" t="s">
        <v>460</v>
      </c>
      <c r="B22" s="12" t="s">
        <v>461</v>
      </c>
      <c r="C22" s="33" t="s">
        <v>277</v>
      </c>
      <c r="D22" s="12" t="s">
        <v>349</v>
      </c>
      <c r="E22" s="12" t="s">
        <v>462</v>
      </c>
      <c r="F22" s="12" t="n">
        <v>0</v>
      </c>
      <c r="G22" s="34" t="n">
        <v>1</v>
      </c>
      <c r="H22" s="12" t="s">
        <v>594</v>
      </c>
    </row>
    <row r="23" customFormat="false" ht="15" hidden="false" customHeight="true" outlineLevel="0" collapsed="false">
      <c r="A23" s="40" t="s">
        <v>464</v>
      </c>
      <c r="B23" s="12" t="s">
        <v>465</v>
      </c>
      <c r="C23" s="33" t="s">
        <v>277</v>
      </c>
      <c r="D23" s="12" t="s">
        <v>291</v>
      </c>
      <c r="E23" s="12" t="s">
        <v>466</v>
      </c>
      <c r="F23" s="12" t="n">
        <v>0</v>
      </c>
      <c r="G23" s="34" t="n">
        <v>0.75</v>
      </c>
      <c r="H23" s="12" t="s">
        <v>595</v>
      </c>
    </row>
    <row r="24" customFormat="false" ht="15" hidden="false" customHeight="true" outlineLevel="0" collapsed="false">
      <c r="A24" s="40" t="s">
        <v>468</v>
      </c>
      <c r="B24" s="12" t="s">
        <v>469</v>
      </c>
      <c r="C24" s="33" t="s">
        <v>277</v>
      </c>
      <c r="D24" s="12" t="s">
        <v>363</v>
      </c>
      <c r="E24" s="12" t="s">
        <v>470</v>
      </c>
      <c r="F24" s="12" t="n">
        <v>0</v>
      </c>
      <c r="G24" s="34" t="n">
        <v>0.75</v>
      </c>
      <c r="H24" s="12" t="s">
        <v>596</v>
      </c>
    </row>
    <row r="25" customFormat="false" ht="15" hidden="false" customHeight="true" outlineLevel="0" collapsed="false">
      <c r="A25" s="40" t="s">
        <v>471</v>
      </c>
      <c r="B25" s="12" t="s">
        <v>472</v>
      </c>
      <c r="C25" s="33" t="s">
        <v>277</v>
      </c>
      <c r="D25" s="12" t="s">
        <v>367</v>
      </c>
      <c r="E25" s="12" t="s">
        <v>473</v>
      </c>
      <c r="F25" s="12" t="n">
        <v>0</v>
      </c>
      <c r="G25" s="34" t="n">
        <v>0.75</v>
      </c>
      <c r="H25" s="12" t="s">
        <v>597</v>
      </c>
    </row>
    <row r="26" customFormat="false" ht="15" hidden="false" customHeight="true" outlineLevel="0" collapsed="false">
      <c r="A26" s="40" t="s">
        <v>474</v>
      </c>
      <c r="B26" s="12" t="s">
        <v>475</v>
      </c>
      <c r="C26" s="33" t="s">
        <v>277</v>
      </c>
      <c r="D26" s="12" t="s">
        <v>296</v>
      </c>
      <c r="E26" s="12" t="s">
        <v>476</v>
      </c>
      <c r="F26" s="12" t="n">
        <v>0</v>
      </c>
      <c r="G26" s="34" t="n">
        <v>0.75</v>
      </c>
      <c r="H26" s="12" t="s">
        <v>598</v>
      </c>
    </row>
    <row r="27" customFormat="false" ht="15" hidden="false" customHeight="true" outlineLevel="0" collapsed="false">
      <c r="A27" s="40" t="s">
        <v>477</v>
      </c>
      <c r="B27" s="12" t="s">
        <v>478</v>
      </c>
      <c r="C27" s="33" t="s">
        <v>277</v>
      </c>
      <c r="D27" s="12" t="s">
        <v>93</v>
      </c>
      <c r="E27" s="12" t="s">
        <v>479</v>
      </c>
      <c r="F27" s="12" t="n">
        <v>0</v>
      </c>
      <c r="G27" s="34" t="n">
        <v>0.5</v>
      </c>
      <c r="H27" s="12" t="s">
        <v>584</v>
      </c>
    </row>
    <row r="28" customFormat="false" ht="21.75" hidden="false" customHeight="true" outlineLevel="0" collapsed="false">
      <c r="A28" s="32" t="s">
        <v>481</v>
      </c>
      <c r="B28" s="41" t="s">
        <v>482</v>
      </c>
      <c r="C28" s="42" t="s">
        <v>277</v>
      </c>
      <c r="D28" s="10" t="s">
        <v>483</v>
      </c>
      <c r="E28" s="10" t="s">
        <v>484</v>
      </c>
      <c r="F28" s="10" t="n">
        <v>0</v>
      </c>
      <c r="G28" s="43" t="n">
        <v>0.75</v>
      </c>
      <c r="H28" s="10" t="s">
        <v>584</v>
      </c>
    </row>
    <row r="29" customFormat="false" ht="21.75" hidden="false" customHeight="true" outlineLevel="0" collapsed="false">
      <c r="A29" s="40" t="s">
        <v>486</v>
      </c>
      <c r="B29" s="12" t="s">
        <v>487</v>
      </c>
      <c r="C29" s="33" t="s">
        <v>92</v>
      </c>
      <c r="D29" s="12" t="s">
        <v>384</v>
      </c>
      <c r="E29" s="12" t="s">
        <v>488</v>
      </c>
      <c r="F29" s="12" t="n">
        <v>0</v>
      </c>
      <c r="G29" s="34" t="n">
        <v>0.25</v>
      </c>
      <c r="H29" s="12" t="s">
        <v>584</v>
      </c>
    </row>
    <row r="30" customFormat="false" ht="21.75" hidden="false" customHeight="true" outlineLevel="0" collapsed="false">
      <c r="A30" s="40" t="s">
        <v>489</v>
      </c>
      <c r="B30" s="12" t="s">
        <v>490</v>
      </c>
      <c r="C30" s="33" t="s">
        <v>92</v>
      </c>
      <c r="D30" s="12" t="s">
        <v>491</v>
      </c>
      <c r="E30" s="12" t="s">
        <v>492</v>
      </c>
      <c r="F30" s="12" t="n">
        <v>0</v>
      </c>
      <c r="G30" s="34" t="n">
        <v>0.25</v>
      </c>
      <c r="H30" s="12" t="s">
        <v>584</v>
      </c>
    </row>
    <row r="31" customFormat="false" ht="21.75" hidden="false" customHeight="true" outlineLevel="0" collapsed="false">
      <c r="A31" s="40" t="s">
        <v>493</v>
      </c>
      <c r="B31" s="12" t="s">
        <v>494</v>
      </c>
      <c r="C31" s="33" t="s">
        <v>277</v>
      </c>
      <c r="D31" s="12" t="s">
        <v>495</v>
      </c>
      <c r="E31" s="12" t="s">
        <v>496</v>
      </c>
      <c r="F31" s="12" t="n">
        <v>0</v>
      </c>
      <c r="G31" s="34" t="n">
        <v>0.5</v>
      </c>
      <c r="H31" s="12" t="s">
        <v>599</v>
      </c>
    </row>
    <row r="32" customFormat="false" ht="15" hidden="false" customHeight="true" outlineLevel="0" collapsed="false">
      <c r="A32" s="32" t="s">
        <v>498</v>
      </c>
      <c r="B32" s="41" t="s">
        <v>499</v>
      </c>
      <c r="C32" s="42" t="s">
        <v>277</v>
      </c>
      <c r="D32" s="10" t="s">
        <v>483</v>
      </c>
      <c r="E32" s="10" t="s">
        <v>500</v>
      </c>
      <c r="F32" s="10" t="n">
        <v>0</v>
      </c>
      <c r="G32" s="43" t="n">
        <v>0.5</v>
      </c>
      <c r="H32" s="10" t="s">
        <v>584</v>
      </c>
    </row>
    <row r="34" customFormat="false" ht="15" hidden="false" customHeight="true" outlineLevel="0" collapsed="false">
      <c r="B34" s="38" t="s">
        <v>600</v>
      </c>
      <c r="G34" s="39" t="n">
        <f aca="false">SUM(G5:G32)</f>
        <v>21</v>
      </c>
    </row>
    <row r="36" customFormat="false" ht="15" hidden="false" customHeight="true" outlineLevel="0" collapsed="false">
      <c r="B36" s="44" t="s">
        <v>601</v>
      </c>
    </row>
    <row r="37" customFormat="false" ht="15" hidden="false" customHeight="true" outlineLevel="0" collapsed="false">
      <c r="B37" s="3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46"/>
    <col collapsed="false" customWidth="true" hidden="false" outlineLevel="0" max="4" min="4" style="1" width="44"/>
    <col collapsed="false" customWidth="true" hidden="false" outlineLevel="0" max="5" min="5" style="1" width="26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8" hidden="false" customHeight="true" outlineLevel="0" collapsed="false">
      <c r="A1" s="2" t="s">
        <v>603</v>
      </c>
    </row>
    <row r="2" customFormat="false" ht="15" hidden="false" customHeight="true" outlineLevel="0" collapsed="false">
      <c r="A2" s="3" t="s">
        <v>604</v>
      </c>
    </row>
    <row r="4" customFormat="false" ht="33.75" hidden="false" customHeight="true" outlineLevel="0" collapsed="false">
      <c r="A4" s="45" t="s">
        <v>605</v>
      </c>
      <c r="B4" s="45" t="s">
        <v>606</v>
      </c>
      <c r="C4" s="45" t="s">
        <v>607</v>
      </c>
      <c r="D4" s="45" t="s">
        <v>608</v>
      </c>
      <c r="E4" s="45" t="s">
        <v>609</v>
      </c>
      <c r="F4" s="45" t="s">
        <v>610</v>
      </c>
      <c r="G4" s="45" t="s">
        <v>611</v>
      </c>
    </row>
    <row r="5" customFormat="false" ht="21.75" hidden="false" customHeight="true" outlineLevel="0" collapsed="false">
      <c r="A5" s="46" t="s">
        <v>126</v>
      </c>
      <c r="B5" s="12" t="s">
        <v>612</v>
      </c>
      <c r="C5" s="12" t="s">
        <v>613</v>
      </c>
      <c r="D5" s="10" t="s">
        <v>614</v>
      </c>
      <c r="E5" s="17" t="s">
        <v>615</v>
      </c>
      <c r="F5" s="20"/>
      <c r="G5" s="23" t="s">
        <v>552</v>
      </c>
    </row>
    <row r="6" customFormat="false" ht="21.75" hidden="false" customHeight="true" outlineLevel="0" collapsed="false">
      <c r="A6" s="46" t="s">
        <v>327</v>
      </c>
      <c r="B6" s="12" t="s">
        <v>616</v>
      </c>
      <c r="C6" s="12" t="s">
        <v>617</v>
      </c>
      <c r="D6" s="10" t="s">
        <v>618</v>
      </c>
      <c r="E6" s="17" t="s">
        <v>619</v>
      </c>
      <c r="F6" s="20"/>
      <c r="G6" s="23"/>
    </row>
    <row r="7" customFormat="false" ht="15" hidden="false" customHeight="true" outlineLevel="0" collapsed="false">
      <c r="A7" s="46" t="s">
        <v>335</v>
      </c>
      <c r="B7" s="12" t="s">
        <v>620</v>
      </c>
      <c r="C7" s="12" t="s">
        <v>621</v>
      </c>
      <c r="D7" s="10" t="s">
        <v>622</v>
      </c>
      <c r="E7" s="17" t="s">
        <v>623</v>
      </c>
      <c r="F7" s="20"/>
      <c r="G7" s="23"/>
    </row>
    <row r="8" customFormat="false" ht="15" hidden="false" customHeight="true" outlineLevel="0" collapsed="false">
      <c r="A8" s="46" t="s">
        <v>342</v>
      </c>
      <c r="B8" s="12" t="s">
        <v>624</v>
      </c>
      <c r="C8" s="12" t="s">
        <v>625</v>
      </c>
      <c r="D8" s="10" t="s">
        <v>626</v>
      </c>
      <c r="E8" s="17" t="s">
        <v>627</v>
      </c>
      <c r="F8" s="20"/>
      <c r="G8" s="23"/>
    </row>
    <row r="9" customFormat="false" ht="15" hidden="false" customHeight="true" outlineLevel="0" collapsed="false">
      <c r="A9" s="46" t="s">
        <v>431</v>
      </c>
      <c r="B9" s="12" t="s">
        <v>628</v>
      </c>
      <c r="C9" s="12" t="s">
        <v>629</v>
      </c>
      <c r="D9" s="10" t="s">
        <v>630</v>
      </c>
      <c r="E9" s="17" t="s">
        <v>429</v>
      </c>
      <c r="F9" s="20" t="s">
        <v>631</v>
      </c>
      <c r="G9" s="23"/>
    </row>
    <row r="10" customFormat="false" ht="15" hidden="false" customHeight="true" outlineLevel="0" collapsed="false">
      <c r="A10" s="46" t="s">
        <v>435</v>
      </c>
      <c r="B10" s="12" t="s">
        <v>632</v>
      </c>
      <c r="C10" s="12" t="s">
        <v>633</v>
      </c>
      <c r="D10" s="10" t="s">
        <v>168</v>
      </c>
      <c r="E10" s="17" t="s">
        <v>433</v>
      </c>
      <c r="F10" s="20" t="s">
        <v>511</v>
      </c>
      <c r="G10" s="23"/>
    </row>
    <row r="11" customFormat="false" ht="15" hidden="false" customHeight="true" outlineLevel="0" collapsed="false">
      <c r="A11" s="46" t="s">
        <v>531</v>
      </c>
      <c r="B11" s="12" t="s">
        <v>634</v>
      </c>
      <c r="C11" s="12" t="s">
        <v>635</v>
      </c>
      <c r="D11" s="10"/>
      <c r="E11" s="17"/>
      <c r="F11" s="20"/>
      <c r="G11" s="23" t="s">
        <v>636</v>
      </c>
    </row>
    <row r="12" customFormat="false" ht="21.75" hidden="false" customHeight="true" outlineLevel="0" collapsed="false">
      <c r="A12" s="46" t="s">
        <v>203</v>
      </c>
      <c r="B12" s="12" t="s">
        <v>637</v>
      </c>
      <c r="C12" s="12" t="s">
        <v>638</v>
      </c>
      <c r="D12" s="10" t="s">
        <v>639</v>
      </c>
      <c r="E12" s="17" t="s">
        <v>640</v>
      </c>
      <c r="F12" s="20"/>
      <c r="G12" s="23" t="s">
        <v>641</v>
      </c>
    </row>
    <row r="13" customFormat="false" ht="15" hidden="false" customHeight="true" outlineLevel="0" collapsed="false">
      <c r="A13" s="46" t="s">
        <v>263</v>
      </c>
      <c r="B13" s="12" t="s">
        <v>642</v>
      </c>
      <c r="C13" s="12" t="s">
        <v>643</v>
      </c>
      <c r="D13" s="10" t="s">
        <v>644</v>
      </c>
      <c r="E13" s="17" t="s">
        <v>442</v>
      </c>
      <c r="F13" s="20"/>
      <c r="G13" s="23" t="s">
        <v>539</v>
      </c>
    </row>
    <row r="14" customFormat="false" ht="15" hidden="false" customHeight="true" outlineLevel="0" collapsed="false">
      <c r="A14" s="46" t="s">
        <v>453</v>
      </c>
      <c r="B14" s="12" t="s">
        <v>645</v>
      </c>
      <c r="C14" s="12" t="s">
        <v>646</v>
      </c>
      <c r="D14" s="10" t="s">
        <v>647</v>
      </c>
      <c r="E14" s="17" t="s">
        <v>648</v>
      </c>
      <c r="F14" s="20" t="s">
        <v>519</v>
      </c>
      <c r="G14" s="23" t="s">
        <v>533</v>
      </c>
    </row>
    <row r="15" customFormat="false" ht="15" hidden="false" customHeight="true" outlineLevel="0" collapsed="false">
      <c r="A15" s="46" t="s">
        <v>649</v>
      </c>
      <c r="B15" s="12" t="s">
        <v>650</v>
      </c>
      <c r="C15" s="12" t="s">
        <v>651</v>
      </c>
      <c r="D15" s="10" t="s">
        <v>652</v>
      </c>
      <c r="E15" s="17" t="s">
        <v>486</v>
      </c>
      <c r="F15" s="20"/>
      <c r="G15" s="23"/>
    </row>
    <row r="16" customFormat="false" ht="21.75" hidden="false" customHeight="true" outlineLevel="0" collapsed="false">
      <c r="A16" s="46" t="s">
        <v>301</v>
      </c>
      <c r="B16" s="12" t="s">
        <v>653</v>
      </c>
      <c r="C16" s="12" t="s">
        <v>654</v>
      </c>
      <c r="D16" s="10" t="s">
        <v>655</v>
      </c>
      <c r="E16" s="17" t="s">
        <v>656</v>
      </c>
      <c r="F16" s="20"/>
      <c r="G16" s="23" t="s">
        <v>657</v>
      </c>
    </row>
    <row r="17" customFormat="false" ht="21.75" hidden="false" customHeight="true" outlineLevel="0" collapsed="false">
      <c r="A17" s="46" t="s">
        <v>349</v>
      </c>
      <c r="B17" s="12" t="s">
        <v>658</v>
      </c>
      <c r="C17" s="12" t="s">
        <v>659</v>
      </c>
      <c r="D17" s="10" t="s">
        <v>660</v>
      </c>
      <c r="E17" s="17" t="s">
        <v>661</v>
      </c>
      <c r="F17" s="20" t="s">
        <v>522</v>
      </c>
      <c r="G17" s="23" t="s">
        <v>662</v>
      </c>
    </row>
    <row r="18" customFormat="false" ht="32.25" hidden="false" customHeight="true" outlineLevel="0" collapsed="false">
      <c r="A18" s="46" t="s">
        <v>291</v>
      </c>
      <c r="B18" s="12" t="s">
        <v>663</v>
      </c>
      <c r="C18" s="12" t="s">
        <v>664</v>
      </c>
      <c r="D18" s="10" t="s">
        <v>665</v>
      </c>
      <c r="E18" s="17" t="s">
        <v>666</v>
      </c>
      <c r="F18" s="20"/>
      <c r="G18" s="23" t="s">
        <v>662</v>
      </c>
    </row>
    <row r="19" customFormat="false" ht="21.75" hidden="false" customHeight="true" outlineLevel="0" collapsed="false">
      <c r="A19" s="46" t="s">
        <v>363</v>
      </c>
      <c r="B19" s="12" t="s">
        <v>667</v>
      </c>
      <c r="C19" s="12" t="s">
        <v>668</v>
      </c>
      <c r="D19" s="10" t="s">
        <v>669</v>
      </c>
      <c r="E19" s="17" t="s">
        <v>468</v>
      </c>
      <c r="F19" s="20"/>
      <c r="G19" s="23" t="s">
        <v>662</v>
      </c>
    </row>
    <row r="20" customFormat="false" ht="21.75" hidden="false" customHeight="true" outlineLevel="0" collapsed="false">
      <c r="A20" s="46" t="s">
        <v>367</v>
      </c>
      <c r="B20" s="12" t="s">
        <v>670</v>
      </c>
      <c r="C20" s="12" t="s">
        <v>671</v>
      </c>
      <c r="D20" s="10" t="s">
        <v>672</v>
      </c>
      <c r="E20" s="17" t="s">
        <v>673</v>
      </c>
      <c r="F20" s="20" t="s">
        <v>525</v>
      </c>
      <c r="G20" s="23" t="s">
        <v>662</v>
      </c>
    </row>
    <row r="21" customFormat="false" ht="32.25" hidden="false" customHeight="true" outlineLevel="0" collapsed="false">
      <c r="A21" s="46" t="s">
        <v>296</v>
      </c>
      <c r="B21" s="12" t="s">
        <v>674</v>
      </c>
      <c r="C21" s="12" t="s">
        <v>675</v>
      </c>
      <c r="D21" s="10" t="s">
        <v>676</v>
      </c>
      <c r="E21" s="17" t="s">
        <v>677</v>
      </c>
      <c r="F21" s="20" t="s">
        <v>502</v>
      </c>
      <c r="G21" s="23" t="s">
        <v>678</v>
      </c>
    </row>
    <row r="22" customFormat="false" ht="21.75" hidden="false" customHeight="true" outlineLevel="0" collapsed="false">
      <c r="A22" s="46" t="s">
        <v>93</v>
      </c>
      <c r="B22" s="12" t="s">
        <v>679</v>
      </c>
      <c r="C22" s="12" t="s">
        <v>680</v>
      </c>
      <c r="D22" s="10" t="s">
        <v>681</v>
      </c>
      <c r="E22" s="17" t="s">
        <v>682</v>
      </c>
      <c r="F22" s="20"/>
      <c r="G22" s="23" t="s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"/>
    <col collapsed="false" customWidth="true" hidden="false" outlineLevel="0" max="4" min="3" style="1" width="12"/>
    <col collapsed="false" customWidth="true" hidden="false" outlineLevel="0" max="5" min="5" style="1" width="11"/>
    <col collapsed="false" customWidth="true" hidden="false" outlineLevel="0" max="7" min="7" style="1" width="96"/>
  </cols>
  <sheetData>
    <row r="1" customFormat="false" ht="18" hidden="false" customHeight="true" outlineLevel="0" collapsed="false">
      <c r="A1" s="2" t="s">
        <v>684</v>
      </c>
    </row>
    <row r="2" customFormat="false" ht="15" hidden="false" customHeight="true" outlineLevel="0" collapsed="false">
      <c r="A2" s="3" t="s">
        <v>685</v>
      </c>
    </row>
    <row r="4" customFormat="false" ht="15" hidden="false" customHeight="true" outlineLevel="0" collapsed="false">
      <c r="A4" s="47" t="s">
        <v>686</v>
      </c>
      <c r="G4" s="48" t="s">
        <v>687</v>
      </c>
    </row>
    <row r="5" customFormat="false" ht="15" hidden="false" customHeight="true" outlineLevel="0" collapsed="false">
      <c r="A5" s="49" t="s">
        <v>55</v>
      </c>
      <c r="B5" s="49" t="s">
        <v>688</v>
      </c>
      <c r="C5" s="49" t="s">
        <v>567</v>
      </c>
      <c r="D5" s="49" t="s">
        <v>568</v>
      </c>
      <c r="E5" s="49" t="s">
        <v>689</v>
      </c>
      <c r="G5" s="50"/>
    </row>
    <row r="6" customFormat="false" ht="15" hidden="false" customHeight="true" outlineLevel="0" collapsed="false">
      <c r="A6" s="51" t="s">
        <v>68</v>
      </c>
      <c r="B6" s="52" t="n">
        <f aca="false">COUNTIF('Asset Register'!$D$5:$D$111,$A6)</f>
        <v>65</v>
      </c>
      <c r="C6" s="52" t="n">
        <f aca="false">SUMIF('Asset Register'!$D$5:$D$111,$A6,'Asset Register'!$J$5:$J$111)</f>
        <v>48</v>
      </c>
      <c r="D6" s="53" t="n">
        <f aca="false">SUMIF('Asset Register'!$D$5:$D$111,$A6,'Asset Register'!$K$5:$K$111)</f>
        <v>87.5</v>
      </c>
      <c r="E6" s="54" t="n">
        <f aca="false">IFERROR(D6/$D$10,0)</f>
        <v>0.713121434392828</v>
      </c>
      <c r="G6" s="50" t="s">
        <v>690</v>
      </c>
    </row>
    <row r="7" customFormat="false" ht="15" hidden="false" customHeight="true" outlineLevel="0" collapsed="false">
      <c r="A7" s="51" t="s">
        <v>389</v>
      </c>
      <c r="B7" s="52" t="n">
        <f aca="false">COUNTIF('Asset Register'!$D$5:$D$111,$A7)</f>
        <v>28</v>
      </c>
      <c r="C7" s="52" t="n">
        <f aca="false">SUMIF('Asset Register'!$D$5:$D$111,$A7,'Asset Register'!$J$5:$J$111)</f>
        <v>0</v>
      </c>
      <c r="D7" s="53" t="n">
        <f aca="false">SUMIF('Asset Register'!$D$5:$D$111,$A7,'Asset Register'!$K$5:$K$111)</f>
        <v>21</v>
      </c>
      <c r="E7" s="54" t="n">
        <f aca="false">IFERROR(D7/$D$10,0)</f>
        <v>0.171149144254279</v>
      </c>
      <c r="G7" s="50" t="s">
        <v>691</v>
      </c>
    </row>
    <row r="8" customFormat="false" ht="15" hidden="false" customHeight="true" outlineLevel="0" collapsed="false">
      <c r="A8" s="51" t="s">
        <v>504</v>
      </c>
      <c r="B8" s="52" t="n">
        <f aca="false">COUNTIF('Asset Register'!$D$5:$D$111,$A8)</f>
        <v>7</v>
      </c>
      <c r="C8" s="52" t="n">
        <f aca="false">SUMIF('Asset Register'!$D$5:$D$111,$A8,'Asset Register'!$J$5:$J$111)</f>
        <v>0</v>
      </c>
      <c r="D8" s="53" t="n">
        <f aca="false">SUMIF('Asset Register'!$D$5:$D$111,$A8,'Asset Register'!$K$5:$K$111)</f>
        <v>0.7</v>
      </c>
      <c r="E8" s="54" t="n">
        <f aca="false">IFERROR(D8/$D$10,0)</f>
        <v>0.00570497147514262</v>
      </c>
      <c r="G8" s="50"/>
    </row>
    <row r="9" customFormat="false" ht="15" hidden="false" customHeight="true" outlineLevel="0" collapsed="false">
      <c r="A9" s="51" t="s">
        <v>530</v>
      </c>
      <c r="B9" s="52" t="n">
        <f aca="false">COUNTIF('Asset Register'!$D$5:$D$111,$A9)</f>
        <v>7</v>
      </c>
      <c r="C9" s="52" t="n">
        <f aca="false">SUMIF('Asset Register'!$D$5:$D$111,$A9,'Asset Register'!$J$5:$J$111)</f>
        <v>0</v>
      </c>
      <c r="D9" s="53" t="n">
        <f aca="false">SUMIF('Asset Register'!$D$5:$D$111,$A9,'Asset Register'!$K$5:$K$111)</f>
        <v>13.5</v>
      </c>
      <c r="E9" s="54" t="n">
        <f aca="false">IFERROR(D9/$D$10,0)</f>
        <v>0.110024449877751</v>
      </c>
      <c r="G9" s="50" t="s">
        <v>692</v>
      </c>
    </row>
    <row r="10" customFormat="false" ht="15" hidden="false" customHeight="true" outlineLevel="0" collapsed="false">
      <c r="A10" s="55" t="s">
        <v>693</v>
      </c>
      <c r="B10" s="56" t="n">
        <f aca="false">SUM(B6:B9)</f>
        <v>107</v>
      </c>
      <c r="C10" s="56" t="n">
        <f aca="false">SUM(C6:C9)</f>
        <v>48</v>
      </c>
      <c r="D10" s="57" t="n">
        <f aca="false">SUM(D6:D9)</f>
        <v>122.7</v>
      </c>
      <c r="E10" s="58" t="n">
        <f aca="false">IFERROR(SUM(E6:E9),0)</f>
        <v>1</v>
      </c>
      <c r="G10" s="50" t="s">
        <v>694</v>
      </c>
    </row>
    <row r="11" customFormat="false" ht="15" hidden="false" customHeight="true" outlineLevel="0" collapsed="false">
      <c r="G11" s="50"/>
    </row>
    <row r="12" customFormat="false" ht="15" hidden="false" customHeight="true" outlineLevel="0" collapsed="false">
      <c r="G12" s="50" t="s">
        <v>695</v>
      </c>
    </row>
    <row r="13" customFormat="false" ht="15" hidden="false" customHeight="true" outlineLevel="0" collapsed="false">
      <c r="A13" s="47" t="s">
        <v>696</v>
      </c>
      <c r="G13" s="50" t="s">
        <v>697</v>
      </c>
    </row>
    <row r="14" customFormat="false" ht="15" hidden="false" customHeight="true" outlineLevel="0" collapsed="false">
      <c r="A14" s="49" t="s">
        <v>54</v>
      </c>
      <c r="B14" s="49" t="s">
        <v>688</v>
      </c>
      <c r="C14" s="49" t="s">
        <v>567</v>
      </c>
      <c r="D14" s="49" t="s">
        <v>568</v>
      </c>
      <c r="E14" s="49" t="s">
        <v>689</v>
      </c>
      <c r="G14" s="50"/>
    </row>
    <row r="15" customFormat="false" ht="15" hidden="false" customHeight="true" outlineLevel="0" collapsed="false">
      <c r="A15" s="51" t="s">
        <v>67</v>
      </c>
      <c r="B15" s="52" t="n">
        <f aca="false">COUNTIF('Asset Register'!$C$5:$C$111,$A15)</f>
        <v>40</v>
      </c>
      <c r="C15" s="52" t="n">
        <f aca="false">SUMIF('Asset Register'!$C$5:$C$111,$A15,'Asset Register'!$J$5:$J$111)</f>
        <v>18</v>
      </c>
      <c r="D15" s="53" t="n">
        <f aca="false">SUMIF('Asset Register'!$C$5:$C$111,$A15,'Asset Register'!$K$5:$K$111)</f>
        <v>51.05</v>
      </c>
      <c r="E15" s="54" t="n">
        <f aca="false">IFERROR(D15/$D$18,0)</f>
        <v>0.416055419722901</v>
      </c>
      <c r="G15" s="50" t="s">
        <v>698</v>
      </c>
    </row>
    <row r="16" customFormat="false" ht="15" hidden="false" customHeight="true" outlineLevel="0" collapsed="false">
      <c r="A16" s="51" t="s">
        <v>92</v>
      </c>
      <c r="B16" s="52" t="n">
        <f aca="false">COUNTIF('Asset Register'!$C$5:$C$111,$A16)</f>
        <v>34</v>
      </c>
      <c r="C16" s="52" t="n">
        <f aca="false">SUMIF('Asset Register'!$C$5:$C$111,$A16,'Asset Register'!$J$5:$J$111)</f>
        <v>11</v>
      </c>
      <c r="D16" s="53" t="n">
        <f aca="false">SUMIF('Asset Register'!$C$5:$C$111,$A16,'Asset Register'!$K$5:$K$111)</f>
        <v>35.6</v>
      </c>
      <c r="E16" s="54" t="n">
        <f aca="false">IFERROR(D16/$D$18,0)</f>
        <v>0.290138549307253</v>
      </c>
      <c r="G16" s="50" t="s">
        <v>699</v>
      </c>
    </row>
    <row r="17" customFormat="false" ht="15" hidden="false" customHeight="true" outlineLevel="0" collapsed="false">
      <c r="A17" s="51" t="s">
        <v>277</v>
      </c>
      <c r="B17" s="52" t="n">
        <f aca="false">COUNTIF('Asset Register'!$C$5:$C$111,$A17)</f>
        <v>33</v>
      </c>
      <c r="C17" s="52" t="n">
        <f aca="false">SUMIF('Asset Register'!$C$5:$C$111,$A17,'Asset Register'!$J$5:$J$111)</f>
        <v>19</v>
      </c>
      <c r="D17" s="53" t="n">
        <f aca="false">SUMIF('Asset Register'!$C$5:$C$111,$A17,'Asset Register'!$K$5:$K$111)</f>
        <v>36.05</v>
      </c>
      <c r="E17" s="54" t="n">
        <f aca="false">IFERROR(D17/$D$18,0)</f>
        <v>0.293806030969845</v>
      </c>
    </row>
    <row r="18" customFormat="false" ht="15" hidden="false" customHeight="true" outlineLevel="0" collapsed="false">
      <c r="A18" s="55" t="s">
        <v>693</v>
      </c>
      <c r="B18" s="56" t="n">
        <f aca="false">SUM(B15:B17)</f>
        <v>107</v>
      </c>
      <c r="C18" s="56" t="n">
        <f aca="false">SUM(C15:C17)</f>
        <v>48</v>
      </c>
      <c r="D18" s="57" t="n">
        <f aca="false">SUM(D15:D17)</f>
        <v>122.7</v>
      </c>
      <c r="E18" s="58" t="n">
        <f aca="false">IFERROR(SUM(E15:E17),0)</f>
        <v>1</v>
      </c>
    </row>
    <row r="21" customFormat="false" ht="15" hidden="false" customHeight="true" outlineLevel="0" collapsed="false">
      <c r="A21" s="47" t="s">
        <v>700</v>
      </c>
    </row>
    <row r="22" customFormat="false" ht="15" hidden="false" customHeight="true" outlineLevel="0" collapsed="false">
      <c r="A22" s="49" t="s">
        <v>63</v>
      </c>
      <c r="B22" s="49" t="s">
        <v>688</v>
      </c>
      <c r="C22" s="49" t="s">
        <v>567</v>
      </c>
      <c r="D22" s="49" t="s">
        <v>568</v>
      </c>
      <c r="E22" s="49" t="s">
        <v>689</v>
      </c>
    </row>
    <row r="23" customFormat="false" ht="15" hidden="false" customHeight="true" outlineLevel="0" collapsed="false">
      <c r="A23" s="51" t="s">
        <v>89</v>
      </c>
      <c r="B23" s="52" t="n">
        <f aca="false">COUNTIF('Asset Register'!$L$5:$L$111,$A23)</f>
        <v>63</v>
      </c>
      <c r="C23" s="52" t="n">
        <f aca="false">SUMIF('Asset Register'!$L$5:$L$111,$A23,'Asset Register'!$J$5:$J$111)</f>
        <v>15</v>
      </c>
      <c r="D23" s="53" t="n">
        <f aca="false">SUMIF('Asset Register'!$L$5:$L$111,$A23,'Asset Register'!$K$5:$K$111)</f>
        <v>39.2</v>
      </c>
      <c r="E23" s="54" t="n">
        <f aca="false">IFERROR(D23/$D$26,0)</f>
        <v>0.319478402607987</v>
      </c>
    </row>
    <row r="24" customFormat="false" ht="15" hidden="false" customHeight="true" outlineLevel="0" collapsed="false">
      <c r="A24" s="51" t="s">
        <v>73</v>
      </c>
      <c r="B24" s="52" t="n">
        <f aca="false">COUNTIF('Asset Register'!$L$5:$L$111,$A24)</f>
        <v>35</v>
      </c>
      <c r="C24" s="52" t="n">
        <f aca="false">SUMIF('Asset Register'!$L$5:$L$111,$A24,'Asset Register'!$J$5:$J$111)</f>
        <v>20</v>
      </c>
      <c r="D24" s="53" t="n">
        <f aca="false">SUMIF('Asset Register'!$L$5:$L$111,$A24,'Asset Register'!$K$5:$K$111)</f>
        <v>57.5</v>
      </c>
      <c r="E24" s="54" t="n">
        <f aca="false">IFERROR(D24/$D$26,0)</f>
        <v>0.468622656886716</v>
      </c>
    </row>
    <row r="25" customFormat="false" ht="15" hidden="false" customHeight="true" outlineLevel="0" collapsed="false">
      <c r="A25" s="51" t="s">
        <v>81</v>
      </c>
      <c r="B25" s="52" t="n">
        <f aca="false">COUNTIF('Asset Register'!$L$5:$L$111,$A25)</f>
        <v>9</v>
      </c>
      <c r="C25" s="52" t="n">
        <f aca="false">SUMIF('Asset Register'!$L$5:$L$111,$A25,'Asset Register'!$J$5:$J$111)</f>
        <v>13</v>
      </c>
      <c r="D25" s="53" t="n">
        <f aca="false">SUMIF('Asset Register'!$L$5:$L$111,$A25,'Asset Register'!$K$5:$K$111)</f>
        <v>26</v>
      </c>
      <c r="E25" s="54" t="n">
        <f aca="false">IFERROR(D25/$D$26,0)</f>
        <v>0.211898940505297</v>
      </c>
    </row>
    <row r="26" customFormat="false" ht="15" hidden="false" customHeight="true" outlineLevel="0" collapsed="false">
      <c r="A26" s="55" t="s">
        <v>693</v>
      </c>
      <c r="B26" s="56" t="n">
        <f aca="false">SUM(B23:B25)</f>
        <v>107</v>
      </c>
      <c r="C26" s="56" t="n">
        <f aca="false">SUM(C23:C25)</f>
        <v>48</v>
      </c>
      <c r="D26" s="57" t="n">
        <f aca="false">SUM(D23:D25)</f>
        <v>122.7</v>
      </c>
      <c r="E26" s="58" t="n">
        <f aca="false">IFERROR(SUM(E23:E25),0)</f>
        <v>1</v>
      </c>
    </row>
    <row r="29" customFormat="false" ht="15" hidden="false" customHeight="true" outlineLevel="0" collapsed="false">
      <c r="A29" s="47" t="s">
        <v>701</v>
      </c>
    </row>
    <row r="30" customFormat="false" ht="15" hidden="false" customHeight="true" outlineLevel="0" collapsed="false">
      <c r="A30" s="51" t="s">
        <v>702</v>
      </c>
      <c r="B30" s="59" t="n">
        <f aca="false">SUMIF('Asset Register'!$D$5:$D$111,"BLENDER",'Asset Register'!$K$5:$K$111)</f>
        <v>87.5</v>
      </c>
      <c r="D30" s="3" t="s">
        <v>703</v>
      </c>
    </row>
    <row r="31" customFormat="false" ht="15" hidden="false" customHeight="true" outlineLevel="0" collapsed="false">
      <c r="A31" s="51" t="s">
        <v>704</v>
      </c>
      <c r="B31" s="60" t="n">
        <v>3</v>
      </c>
    </row>
    <row r="32" customFormat="false" ht="15" hidden="false" customHeight="true" outlineLevel="0" collapsed="false">
      <c r="A32" s="51" t="s">
        <v>705</v>
      </c>
      <c r="B32" s="59" t="n">
        <f aca="false">IFERROR(B30/B31/5,0)</f>
        <v>5.83333333333333</v>
      </c>
    </row>
    <row r="33" customFormat="false" ht="15" hidden="false" customHeight="true" outlineLevel="0" collapsed="false">
      <c r="A33" s="51" t="s">
        <v>706</v>
      </c>
      <c r="B33" s="59" t="n">
        <f aca="false">SUMIF('Asset Register'!$D$5:$D$111,"INFOGRAPHIC",'Asset Register'!$K$5:$K$111)</f>
        <v>21</v>
      </c>
    </row>
    <row r="34" customFormat="false" ht="15" hidden="false" customHeight="true" outlineLevel="0" collapsed="false">
      <c r="A34" s="51" t="s">
        <v>707</v>
      </c>
      <c r="B34" s="60" t="n">
        <v>1</v>
      </c>
    </row>
    <row r="35" customFormat="false" ht="15" hidden="false" customHeight="true" outlineLevel="0" collapsed="false">
      <c r="A35" s="51" t="s">
        <v>708</v>
      </c>
      <c r="B35" s="59" t="n">
        <f aca="false">IFERROR(B33/B34/5,0)</f>
        <v>4.2</v>
      </c>
    </row>
    <row r="36" customFormat="false" ht="15" hidden="false" customHeight="true" outlineLevel="0" collapsed="false">
      <c r="A36" s="51" t="s">
        <v>709</v>
      </c>
      <c r="B36" s="59" t="n">
        <f aca="false">SUMIF('Asset Register'!$D$5:$D$111,"RUNTIME/CODE",'Asset Register'!$K$5:$K$111)</f>
        <v>13.5</v>
      </c>
    </row>
    <row r="37" customFormat="false" ht="15" hidden="false" customHeight="true" outlineLevel="0" collapsed="false">
      <c r="A37" s="51" t="s">
        <v>710</v>
      </c>
      <c r="B37" s="59" t="n">
        <f aca="false">SUM('Asset Register'!$K$5:$K$111)</f>
        <v>122.7</v>
      </c>
    </row>
    <row r="38" customFormat="false" ht="15" hidden="false" customHeight="true" outlineLevel="0" collapsed="false">
      <c r="A38" s="51" t="s">
        <v>711</v>
      </c>
      <c r="B38" s="61" t="n">
        <f aca="false">COUNTA('Asset Register'!$A$5:$A$111)</f>
        <v>107</v>
      </c>
    </row>
    <row r="39" customFormat="false" ht="15" hidden="false" customHeight="true" outlineLevel="0" collapsed="false">
      <c r="A39" s="51" t="s">
        <v>712</v>
      </c>
      <c r="B39" s="61" t="n">
        <f aca="false">SUM('Asset Register'!$J$5:$J$111)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5" min="4" style="1" width="46"/>
    <col collapsed="false" customWidth="true" hidden="false" outlineLevel="0" max="6" min="6" style="1" width="34"/>
    <col collapsed="false" customWidth="true" hidden="false" outlineLevel="0" max="8" min="7" style="1" width="14"/>
  </cols>
  <sheetData>
    <row r="1" customFormat="false" ht="18" hidden="false" customHeight="true" outlineLevel="0" collapsed="false">
      <c r="A1" s="2" t="s">
        <v>713</v>
      </c>
    </row>
    <row r="2" customFormat="false" ht="15" hidden="false" customHeight="true" outlineLevel="0" collapsed="false">
      <c r="A2" s="3" t="s">
        <v>714</v>
      </c>
    </row>
    <row r="4" customFormat="false" ht="33.75" hidden="false" customHeight="true" outlineLevel="0" collapsed="false">
      <c r="A4" s="28" t="s">
        <v>715</v>
      </c>
      <c r="B4" s="28" t="s">
        <v>716</v>
      </c>
      <c r="C4" s="28" t="s">
        <v>717</v>
      </c>
      <c r="D4" s="28" t="s">
        <v>718</v>
      </c>
      <c r="E4" s="28" t="s">
        <v>719</v>
      </c>
      <c r="F4" s="28" t="s">
        <v>720</v>
      </c>
      <c r="G4" s="28" t="s">
        <v>721</v>
      </c>
      <c r="H4" s="28" t="s">
        <v>722</v>
      </c>
    </row>
    <row r="5" customFormat="false" ht="32.25" hidden="false" customHeight="true" outlineLevel="0" collapsed="false">
      <c r="A5" s="32" t="n">
        <v>1</v>
      </c>
      <c r="B5" s="10" t="s">
        <v>723</v>
      </c>
      <c r="C5" s="10" t="s">
        <v>724</v>
      </c>
      <c r="D5" s="10" t="s">
        <v>725</v>
      </c>
      <c r="E5" s="62" t="s">
        <v>726</v>
      </c>
      <c r="F5" s="10" t="s">
        <v>727</v>
      </c>
      <c r="G5" s="63" t="s">
        <v>728</v>
      </c>
      <c r="H5" s="63" t="s">
        <v>729</v>
      </c>
    </row>
    <row r="6" customFormat="false" ht="32.25" hidden="false" customHeight="true" outlineLevel="0" collapsed="false">
      <c r="A6" s="32" t="n">
        <v>2</v>
      </c>
      <c r="B6" s="10" t="s">
        <v>730</v>
      </c>
      <c r="C6" s="10" t="s">
        <v>731</v>
      </c>
      <c r="D6" s="10" t="s">
        <v>732</v>
      </c>
      <c r="E6" s="62" t="s">
        <v>733</v>
      </c>
      <c r="F6" s="10" t="s">
        <v>734</v>
      </c>
      <c r="G6" s="63" t="s">
        <v>735</v>
      </c>
      <c r="H6" s="63" t="s">
        <v>736</v>
      </c>
    </row>
    <row r="7" customFormat="false" ht="21.75" hidden="false" customHeight="true" outlineLevel="0" collapsed="false">
      <c r="A7" s="32" t="n">
        <v>3</v>
      </c>
      <c r="B7" s="10" t="s">
        <v>737</v>
      </c>
      <c r="C7" s="10" t="s">
        <v>738</v>
      </c>
      <c r="D7" s="10" t="s">
        <v>739</v>
      </c>
      <c r="E7" s="62" t="s">
        <v>740</v>
      </c>
      <c r="F7" s="10" t="s">
        <v>741</v>
      </c>
      <c r="G7" s="63" t="s">
        <v>728</v>
      </c>
      <c r="H7" s="63" t="s">
        <v>736</v>
      </c>
    </row>
    <row r="8" customFormat="false" ht="32.25" hidden="false" customHeight="true" outlineLevel="0" collapsed="false">
      <c r="A8" s="32" t="n">
        <v>4</v>
      </c>
      <c r="B8" s="10" t="s">
        <v>742</v>
      </c>
      <c r="C8" s="10" t="s">
        <v>743</v>
      </c>
      <c r="D8" s="10" t="s">
        <v>744</v>
      </c>
      <c r="E8" s="62" t="s">
        <v>745</v>
      </c>
      <c r="F8" s="10" t="s">
        <v>746</v>
      </c>
      <c r="G8" s="63" t="s">
        <v>747</v>
      </c>
      <c r="H8" s="63" t="s">
        <v>736</v>
      </c>
    </row>
    <row r="9" customFormat="false" ht="32.25" hidden="false" customHeight="true" outlineLevel="0" collapsed="false">
      <c r="A9" s="64" t="n">
        <v>5</v>
      </c>
      <c r="B9" s="12" t="s">
        <v>748</v>
      </c>
      <c r="C9" s="12" t="s">
        <v>749</v>
      </c>
      <c r="D9" s="12" t="s">
        <v>750</v>
      </c>
      <c r="E9" s="65" t="s">
        <v>751</v>
      </c>
      <c r="F9" s="12" t="s">
        <v>752</v>
      </c>
      <c r="G9" s="31" t="s">
        <v>753</v>
      </c>
      <c r="H9" s="31" t="s">
        <v>754</v>
      </c>
    </row>
    <row r="10" customFormat="false" ht="21.75" hidden="false" customHeight="true" outlineLevel="0" collapsed="false">
      <c r="A10" s="64" t="n">
        <v>6</v>
      </c>
      <c r="B10" s="12" t="s">
        <v>755</v>
      </c>
      <c r="C10" s="12" t="s">
        <v>756</v>
      </c>
      <c r="D10" s="12" t="s">
        <v>757</v>
      </c>
      <c r="E10" s="65" t="s">
        <v>758</v>
      </c>
      <c r="F10" s="12" t="s">
        <v>759</v>
      </c>
      <c r="G10" s="31" t="s">
        <v>760</v>
      </c>
      <c r="H10" s="31" t="s">
        <v>761</v>
      </c>
    </row>
    <row r="11" customFormat="false" ht="32.25" hidden="false" customHeight="true" outlineLevel="0" collapsed="false">
      <c r="A11" s="64" t="n">
        <v>7</v>
      </c>
      <c r="B11" s="12" t="s">
        <v>762</v>
      </c>
      <c r="C11" s="12" t="s">
        <v>763</v>
      </c>
      <c r="D11" s="12" t="s">
        <v>764</v>
      </c>
      <c r="E11" s="65" t="s">
        <v>765</v>
      </c>
      <c r="F11" s="12" t="s">
        <v>766</v>
      </c>
      <c r="G11" s="31" t="s">
        <v>753</v>
      </c>
      <c r="H11" s="31" t="s">
        <v>736</v>
      </c>
    </row>
    <row r="12" customFormat="false" ht="21.75" hidden="false" customHeight="true" outlineLevel="0" collapsed="false">
      <c r="A12" s="64" t="n">
        <v>8</v>
      </c>
      <c r="B12" s="12" t="s">
        <v>767</v>
      </c>
      <c r="C12" s="12" t="s">
        <v>768</v>
      </c>
      <c r="D12" s="12" t="s">
        <v>769</v>
      </c>
      <c r="E12" s="65" t="s">
        <v>770</v>
      </c>
      <c r="F12" s="12" t="s">
        <v>771</v>
      </c>
      <c r="G12" s="31" t="s">
        <v>728</v>
      </c>
      <c r="H12" s="31" t="s">
        <v>736</v>
      </c>
    </row>
    <row r="13" customFormat="false" ht="32.25" hidden="false" customHeight="true" outlineLevel="0" collapsed="false">
      <c r="A13" s="64" t="n">
        <v>9</v>
      </c>
      <c r="B13" s="12" t="s">
        <v>772</v>
      </c>
      <c r="C13" s="12" t="s">
        <v>275</v>
      </c>
      <c r="D13" s="12" t="s">
        <v>773</v>
      </c>
      <c r="E13" s="65" t="s">
        <v>774</v>
      </c>
      <c r="F13" s="12" t="s">
        <v>775</v>
      </c>
      <c r="G13" s="31" t="s">
        <v>753</v>
      </c>
      <c r="H13" s="31" t="s">
        <v>729</v>
      </c>
    </row>
    <row r="14" customFormat="false" ht="21.75" hidden="false" customHeight="true" outlineLevel="0" collapsed="false">
      <c r="A14" s="64" t="n">
        <v>10</v>
      </c>
      <c r="B14" s="12" t="s">
        <v>776</v>
      </c>
      <c r="C14" s="12" t="s">
        <v>777</v>
      </c>
      <c r="D14" s="12" t="s">
        <v>778</v>
      </c>
      <c r="E14" s="65" t="s">
        <v>779</v>
      </c>
      <c r="F14" s="12" t="s">
        <v>780</v>
      </c>
      <c r="G14" s="31" t="s">
        <v>753</v>
      </c>
      <c r="H14" s="31" t="s">
        <v>781</v>
      </c>
    </row>
    <row r="16" customFormat="false" ht="15" hidden="false" customHeight="true" outlineLevel="0" collapsed="false">
      <c r="B16" s="44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2026-08-21T07:27:15Z</dcterms:created>
  <dc:creator>openpyxl</dc:creator>
  <dc:description/>
  <dc:language>en-US</dc:language>
  <cp:lastModifiedBy/>
  <dcterms:modified xsi:type="dcterms:W3CDTF">2026-08-21T07:28:04Z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